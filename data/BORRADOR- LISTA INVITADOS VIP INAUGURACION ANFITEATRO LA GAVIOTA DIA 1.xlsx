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ALES Y AUTORIDADES " sheetId="1" r:id="rId4"/>
    <sheet state="hidden" name="FAMILIAS " sheetId="2" r:id="rId5"/>
  </sheets>
  <externalReferences>
    <externalReference r:id="rId6"/>
    <externalReference r:id="rId7"/>
    <externalReference r:id="rId8"/>
  </externalReferences>
  <definedNames>
    <definedName hidden="1" localSheetId="0" name="_xlnm._FilterDatabase">'ESPECIALES Y AUTORIDADES '!$A$3:$L$469</definedName>
    <definedName hidden="1" localSheetId="1" name="_xlnm._FilterDatabase">'FAMILIAS '!$B$2:$C$506</definedName>
  </definedNames>
  <calcPr/>
  <extLst>
    <ext uri="GoogleSheetsCustomDataVersion2">
      <go:sheetsCustomData xmlns:go="http://customooxmlschemas.google.com/" r:id="rId9" roundtripDataChecksum="9E0zqHQrnRG5HJJG43NuxP1IMDXCis8EcZAjRPn0n2s="/>
    </ext>
  </extLst>
</workbook>
</file>

<file path=xl/sharedStrings.xml><?xml version="1.0" encoding="utf-8"?>
<sst xmlns="http://schemas.openxmlformats.org/spreadsheetml/2006/main" count="3622" uniqueCount="2331">
  <si>
    <t>LISTA DE INVITADOS INAUGURACION ANFITEATRO LA GAVIOTA</t>
  </si>
  <si>
    <t xml:space="preserve">                                                                                                                                                                                         </t>
  </si>
  <si>
    <t xml:space="preserve">Linea de Honor </t>
  </si>
  <si>
    <t>No</t>
  </si>
  <si>
    <t>Cargo</t>
  </si>
  <si>
    <t xml:space="preserve">Nombre </t>
  </si>
  <si>
    <t>Apellido</t>
  </si>
  <si>
    <t>Contacto</t>
  </si>
  <si>
    <t>Invitación</t>
  </si>
  <si>
    <t>Estatus</t>
  </si>
  <si>
    <t>Dia 1</t>
  </si>
  <si>
    <t>Dia 2</t>
  </si>
  <si>
    <t>Dia 3</t>
  </si>
  <si>
    <t>Dia 4</t>
  </si>
  <si>
    <t>Responsables</t>
  </si>
  <si>
    <t xml:space="preserve">Presidente de la República Dominicana </t>
  </si>
  <si>
    <t xml:space="preserve">Luis </t>
  </si>
  <si>
    <t>Abinader Corona</t>
  </si>
  <si>
    <t>Confirma La Avanzada</t>
  </si>
  <si>
    <t>Vicepresidenta</t>
  </si>
  <si>
    <t xml:space="preserve">Raquel </t>
  </si>
  <si>
    <t>Peña</t>
  </si>
  <si>
    <t>Enviada</t>
  </si>
  <si>
    <t>Ex Ministro de la Presidencia</t>
  </si>
  <si>
    <t>Lisandro Macarrulla</t>
  </si>
  <si>
    <t>Confirmado</t>
  </si>
  <si>
    <t>si</t>
  </si>
  <si>
    <t>Invita don Camel</t>
  </si>
  <si>
    <t xml:space="preserve">Ministro de la Presidencia </t>
  </si>
  <si>
    <t xml:space="preserve">José Ignacio </t>
  </si>
  <si>
    <t>Paliza</t>
  </si>
  <si>
    <t>A cargo de confirmar por Mirtha</t>
  </si>
  <si>
    <t xml:space="preserve">Ministro de Cultura </t>
  </si>
  <si>
    <t xml:space="preserve">Roberto Ángel </t>
  </si>
  <si>
    <t>Salcedo</t>
  </si>
  <si>
    <t>809 221-4141</t>
  </si>
  <si>
    <t xml:space="preserve">Ministro de Educación </t>
  </si>
  <si>
    <t>Luis Miguel</t>
  </si>
  <si>
    <t>De Camps García-Mella</t>
  </si>
  <si>
    <t xml:space="preserve">Ministro de Vivienda y Edificaciones </t>
  </si>
  <si>
    <t xml:space="preserve">Víctor “Ito” </t>
  </si>
  <si>
    <t>Bisonó</t>
  </si>
  <si>
    <t>Si</t>
  </si>
  <si>
    <t>Ministro de Medio Ambiente y Recursos Naturales</t>
  </si>
  <si>
    <t>Paíno</t>
  </si>
  <si>
    <t>Henríquez</t>
  </si>
  <si>
    <t xml:space="preserve">Ministro de Energía y Minas </t>
  </si>
  <si>
    <t>Joel Adrián</t>
  </si>
  <si>
    <t>Santos Echavarría</t>
  </si>
  <si>
    <t>(809) 481-7935</t>
  </si>
  <si>
    <t xml:space="preserve">Ministro de Salud Pública </t>
  </si>
  <si>
    <t>Dr.Víctor</t>
  </si>
  <si>
    <t>Atallah</t>
  </si>
  <si>
    <t>Ministro de Deportes y Recreación</t>
  </si>
  <si>
    <t>Kelvin</t>
  </si>
  <si>
    <t>Cruz</t>
  </si>
  <si>
    <t>Ministra de Interior y Policía</t>
  </si>
  <si>
    <t>Faride</t>
  </si>
  <si>
    <t>Raful</t>
  </si>
  <si>
    <t>(809) 350-2800</t>
  </si>
  <si>
    <t>Ministro de Hacienda y Economía</t>
  </si>
  <si>
    <t xml:space="preserve">Magín Díaz </t>
  </si>
  <si>
    <t>Senador de la provincia Santo Domingo</t>
  </si>
  <si>
    <t xml:space="preserve">Antonio Taveras </t>
  </si>
  <si>
    <t>Taveras Guzmán</t>
  </si>
  <si>
    <t>809-816-2410</t>
  </si>
  <si>
    <t>Esta fuera del país</t>
  </si>
  <si>
    <t>A cargo de confirmar por Hidekel Polanco</t>
  </si>
  <si>
    <t xml:space="preserve">Director Ejecutivo del Fideicomiso VBC-RD </t>
  </si>
  <si>
    <t>Camel Curi</t>
  </si>
  <si>
    <t>Lora</t>
  </si>
  <si>
    <t xml:space="preserve">Gobernadora de la provincia Santo Domingo </t>
  </si>
  <si>
    <t xml:space="preserve">Lucrecia </t>
  </si>
  <si>
    <t>Santana Leyba</t>
  </si>
  <si>
    <t>Alcalde Santo Domingo Este</t>
  </si>
  <si>
    <t>Dio</t>
  </si>
  <si>
    <t>Astacio</t>
  </si>
  <si>
    <t>(829) 638-6400</t>
  </si>
  <si>
    <t>Alcaldesa San Luis</t>
  </si>
  <si>
    <t xml:space="preserve">Wendy </t>
  </si>
  <si>
    <t>Cepeda</t>
  </si>
  <si>
    <t>(849) 344-2982</t>
  </si>
  <si>
    <t>Ministro de Obras Públicas</t>
  </si>
  <si>
    <t xml:space="preserve">Eduardo </t>
  </si>
  <si>
    <t>Estrella</t>
  </si>
  <si>
    <t xml:space="preserve">INVITADOS </t>
  </si>
  <si>
    <t xml:space="preserve"> Rector de la Arquidiocesana María de La Altagracia (Tiene una participación en el programa.)</t>
  </si>
  <si>
    <t>Padre Israel Craviotto</t>
  </si>
  <si>
    <t>(809) 601-5601</t>
  </si>
  <si>
    <t>a cargo de confirmar por Hidekel Polanco</t>
  </si>
  <si>
    <t>Sustituto Padre</t>
  </si>
  <si>
    <t>BENITO MORENO SANTANA</t>
  </si>
  <si>
    <t>Ex Presidente de RD</t>
  </si>
  <si>
    <t xml:space="preserve">Hipolito Mejia </t>
  </si>
  <si>
    <t xml:space="preserve">(849) 206-4533 Jefe de Seguridad </t>
  </si>
  <si>
    <t xml:space="preserve">A cargo de confirmar por Hidekel Polanco </t>
  </si>
  <si>
    <t>Alcaldesa de Santo Domingo</t>
  </si>
  <si>
    <t>Carolina Mejia</t>
  </si>
  <si>
    <t>(809) 889-1513</t>
  </si>
  <si>
    <t>Directora Legal Fideicomiso VBC-RD</t>
  </si>
  <si>
    <t>Sara Reyes</t>
  </si>
  <si>
    <t>(809) 258-2090</t>
  </si>
  <si>
    <t>Director CAASD</t>
  </si>
  <si>
    <r>
      <rPr>
        <rFont val="Aptos Narrow"/>
        <color theme="1"/>
        <sz val="12.0"/>
      </rPr>
      <t>Felipe Antonio (</t>
    </r>
    <r>
      <rPr>
        <rFont val="Arial"/>
        <b/>
        <color rgb="FF767676"/>
        <sz val="7.0"/>
      </rPr>
      <t>Fellito</t>
    </r>
    <r>
      <rPr>
        <rFont val="Arial"/>
        <color rgb="FF474747"/>
        <sz val="7.0"/>
      </rPr>
      <t>) Suberví </t>
    </r>
  </si>
  <si>
    <t>(829) 962-8009</t>
  </si>
  <si>
    <t>Vocero CAASD</t>
  </si>
  <si>
    <t>INGENIERO LUIS SALCEDO</t>
  </si>
  <si>
    <t>Director del PROPEEP</t>
  </si>
  <si>
    <t>Robert Polanco</t>
  </si>
  <si>
    <t>Director de Comunicaciones CAASD</t>
  </si>
  <si>
    <t>Fidel Sánchez</t>
  </si>
  <si>
    <t>Director OMSA</t>
  </si>
  <si>
    <t>Onésimo González</t>
  </si>
  <si>
    <t>Presidente Ejecutivo Banreservas</t>
  </si>
  <si>
    <t>Leonardo Aguilera Batista</t>
  </si>
  <si>
    <t>Vicepresidente Ejecutivo Fiduciaria</t>
  </si>
  <si>
    <t>Andres Vander Horst</t>
  </si>
  <si>
    <t xml:space="preserve"> 809-960-4580</t>
  </si>
  <si>
    <t>Presidente de RODECO</t>
  </si>
  <si>
    <t>Marcos Rosario</t>
  </si>
  <si>
    <t>849-353-9439</t>
  </si>
  <si>
    <t>Presidente de Centro Caribe Sports</t>
  </si>
  <si>
    <t>Luis Rafael Mejía</t>
  </si>
  <si>
    <t>Presidente de ACOPROVIS</t>
  </si>
  <si>
    <t>Ing.Annerys Melendez</t>
  </si>
  <si>
    <t>(809) 440-1448</t>
  </si>
  <si>
    <t>Ex Presidente de ACOPROVIS</t>
  </si>
  <si>
    <t>JORGE MONTALVO</t>
  </si>
  <si>
    <t>(809) 549-6850</t>
  </si>
  <si>
    <t>Héctor Alberto Bretón Sánchez</t>
  </si>
  <si>
    <t>809-547-3023 </t>
  </si>
  <si>
    <t xml:space="preserve">Fermín Acosta
</t>
  </si>
  <si>
    <t>809-537-5558</t>
  </si>
  <si>
    <t>SI, Maria Cristina de Acosta (esposa)</t>
  </si>
  <si>
    <t>Jaime</t>
  </si>
  <si>
    <t>Gonzalez</t>
  </si>
  <si>
    <t>809-543-2320</t>
  </si>
  <si>
    <t>José Rodríguez</t>
  </si>
  <si>
    <t>829-344-5356</t>
  </si>
  <si>
    <t>Asociación de Bancos (ABA)</t>
  </si>
  <si>
    <t>Rosanna Ruiz</t>
  </si>
  <si>
    <t>809-541-5211 / 809-519-6651</t>
  </si>
  <si>
    <t>Liga Dominicana de Asociaciones de Ahorros y Prestamos  (Lidaapi)</t>
  </si>
  <si>
    <t>Manuel Cocco</t>
  </si>
  <si>
    <t>Superintendente de Bancos de la República Dominicana</t>
  </si>
  <si>
    <t>Alejandro Fernández W</t>
  </si>
  <si>
    <t>Mi Banca</t>
  </si>
  <si>
    <t>Mercedes Canalda</t>
  </si>
  <si>
    <t>Viceministra de Relaciones Institucionales</t>
  </si>
  <si>
    <t>María del Pilar Cañas</t>
  </si>
  <si>
    <t>849-357-1341</t>
  </si>
  <si>
    <t>Tentativa</t>
  </si>
  <si>
    <t>Viceministro de Seguimiento y Coordinación Gubernamental </t>
  </si>
  <si>
    <t>Luis Gregorio Madera Sued</t>
  </si>
  <si>
    <t>809-769-8541</t>
  </si>
  <si>
    <t>Viceministro de Agenda Digital</t>
  </si>
  <si>
    <t>Edgar de Jesús Batista Carrasco</t>
  </si>
  <si>
    <t>809-865-2263</t>
  </si>
  <si>
    <t>Viceministro de Desarrollo Social</t>
  </si>
  <si>
    <t>Alexis Isaac Jiménez González</t>
  </si>
  <si>
    <t>809-9069262</t>
  </si>
  <si>
    <t>Empresario amigo de Don Camel</t>
  </si>
  <si>
    <t xml:space="preserve">Edwing Pujols </t>
  </si>
  <si>
    <t>(809) 707-7917</t>
  </si>
  <si>
    <t>Viceministra  Cultura</t>
  </si>
  <si>
    <t>Carmen Rossina Guerrro</t>
  </si>
  <si>
    <t>809 729-1419</t>
  </si>
  <si>
    <t>No contesta</t>
  </si>
  <si>
    <t>A cargo de Jesus</t>
  </si>
  <si>
    <t>Alicia Baroni</t>
  </si>
  <si>
    <t>809 284-2605</t>
  </si>
  <si>
    <t>Asistira</t>
  </si>
  <si>
    <t>SI</t>
  </si>
  <si>
    <t>Directora de Bellas Artes</t>
  </si>
  <si>
    <t>Marianella Sallent</t>
  </si>
  <si>
    <t>Ministerio de Cultura</t>
  </si>
  <si>
    <t xml:space="preserve">Soely Balaguer </t>
  </si>
  <si>
    <t>829 401-2792</t>
  </si>
  <si>
    <t xml:space="preserve">Patricia Blandino </t>
  </si>
  <si>
    <t>829 763-1140</t>
  </si>
  <si>
    <t xml:space="preserve">Mario Lebron </t>
  </si>
  <si>
    <t>809 710-1910</t>
  </si>
  <si>
    <t xml:space="preserve">Rosa Rodriguez </t>
  </si>
  <si>
    <t>809 961-9219</t>
  </si>
  <si>
    <t>Viceministro de Energía Electrica- Ministerio de Energía y Minas (MEM)</t>
  </si>
  <si>
    <t>Ricardo Guerrero</t>
  </si>
  <si>
    <t>809-756-5847</t>
  </si>
  <si>
    <t>Buzon de voz</t>
  </si>
  <si>
    <t>Rector ITSC</t>
  </si>
  <si>
    <t>Dr. José Ramón Holguín Brito</t>
  </si>
  <si>
    <t>849-353-2146 (Contacto del ITSC)</t>
  </si>
  <si>
    <t>Vicerrectora Académica ITSC</t>
  </si>
  <si>
    <t>Lic. Silvana Gálvez Rincón</t>
  </si>
  <si>
    <t>Viceministro Ministerio de Deportes</t>
  </si>
  <si>
    <t>Fernando Teruel</t>
  </si>
  <si>
    <t>(809) 284-7018</t>
  </si>
  <si>
    <t>Viceministro administrativo Ministerio de Deportes</t>
  </si>
  <si>
    <t>Franklin de la Mota</t>
  </si>
  <si>
    <t>809-540-4010</t>
  </si>
  <si>
    <t>Entrenadores Ministerio de Deporte</t>
  </si>
  <si>
    <t>LUIS RAMON LOPEZ ABREU</t>
  </si>
  <si>
    <t>SANTA JUANA SUAREZ</t>
  </si>
  <si>
    <t>JOSÉ CARLOS AGRAMONTE DUVAL</t>
  </si>
  <si>
    <t>CARLOS CASTILLO MORALES</t>
  </si>
  <si>
    <t>ARQUIMEDES ANTONIO LUGO FELIZ</t>
  </si>
  <si>
    <t>DAHIANNA SANTANA LAZIL</t>
  </si>
  <si>
    <t>VLADIMIR PERALTA SANTOS</t>
  </si>
  <si>
    <t>ROBERT MATEO SEPULVEDA</t>
  </si>
  <si>
    <t>CLEOPATRA TEJEDA ROBIOU</t>
  </si>
  <si>
    <t>Directora del Parque Temático de Energía Renovable – Ministerio de Energía y Minas (MEM)</t>
  </si>
  <si>
    <t xml:space="preserve">Kenya A. Mercedes </t>
  </si>
  <si>
    <t>(849) 410-5880</t>
  </si>
  <si>
    <t>PC</t>
  </si>
  <si>
    <t>Encargado del Parque Temático de Energía Renovable – Ministerio de Energía y Minas (MEM)</t>
  </si>
  <si>
    <t>Jesús Pineda</t>
  </si>
  <si>
    <t>809-660-4160</t>
  </si>
  <si>
    <t xml:space="preserve"> Encargada Administrativa Parque Temático de Energía Renovable – Ministerio de Energía y Minas (MEM)</t>
  </si>
  <si>
    <t>Martha Tejada</t>
  </si>
  <si>
    <t>809-519-1388</t>
  </si>
  <si>
    <t>Viceministra Servicios técnicos y pedagógicos MINISTERIO DE EDUCACION</t>
  </si>
  <si>
    <t>Ancell Scheker Mendoza</t>
  </si>
  <si>
    <t>809 688-9700</t>
  </si>
  <si>
    <t>Viceministro evaluación y control calidad MINISTERIO DE EDUCACION</t>
  </si>
  <si>
    <t xml:space="preserve">Oscar Amargos </t>
  </si>
  <si>
    <t>809 688 9700</t>
  </si>
  <si>
    <t>Director Infraestructura MINISTERIO DE EDUCACION</t>
  </si>
  <si>
    <t xml:space="preserve">Roberto Herrera </t>
  </si>
  <si>
    <t>809 350-8662</t>
  </si>
  <si>
    <t xml:space="preserve">Ampliación educación Artes  </t>
  </si>
  <si>
    <t xml:space="preserve">Gelson Navarro </t>
  </si>
  <si>
    <t>829-966-0231</t>
  </si>
  <si>
    <t>Robotica ,desarrollo territorio STEM</t>
  </si>
  <si>
    <t>Wilson Mateo</t>
  </si>
  <si>
    <t>829-449-1103</t>
  </si>
  <si>
    <t>DIPUTADOS - REGIDORES - EMPLEADOS ALCALDIA</t>
  </si>
  <si>
    <t>Diputada Santo Domingo Este</t>
  </si>
  <si>
    <t>Dellys Feliz</t>
  </si>
  <si>
    <t>809) 756-3214</t>
  </si>
  <si>
    <t>Anny Mambrú</t>
  </si>
  <si>
    <t>(829) 726-1414</t>
  </si>
  <si>
    <t>Acompañante Anny MAMBRU - Diputada SDE</t>
  </si>
  <si>
    <t>Pablo Roman</t>
  </si>
  <si>
    <t>Altagracia (pastora) De Los Santos</t>
  </si>
  <si>
    <t>(829) 912-9096</t>
  </si>
  <si>
    <t>Adalgisa  Abreu</t>
  </si>
  <si>
    <t>(829) 748-8679</t>
  </si>
  <si>
    <t>Jheison</t>
  </si>
  <si>
    <t>Castillo</t>
  </si>
  <si>
    <t>(849) 456-1743 Contacto de Marcelina para confirmar</t>
  </si>
  <si>
    <t>Juan Carlos</t>
  </si>
  <si>
    <t>Simanca</t>
  </si>
  <si>
    <t>Abelardo</t>
  </si>
  <si>
    <t>Rutinel</t>
  </si>
  <si>
    <t>(829) 638-0478</t>
  </si>
  <si>
    <t>Amado Diaz</t>
  </si>
  <si>
    <t>(829) 748-8750</t>
  </si>
  <si>
    <t>NO - se encuentra fuera del pais</t>
  </si>
  <si>
    <t xml:space="preserve">Diputado San Luis </t>
  </si>
  <si>
    <t>Moises</t>
  </si>
  <si>
    <t>Ortiz</t>
  </si>
  <si>
    <t>(829) 642-9221</t>
  </si>
  <si>
    <t xml:space="preserve">Juan José </t>
  </si>
  <si>
    <t>Rojas</t>
  </si>
  <si>
    <t>(829) 344-4982</t>
  </si>
  <si>
    <t xml:space="preserve">Diputado.Pte. Reg. 3A </t>
  </si>
  <si>
    <t>Pedro Julio (Pepén) Alcántara</t>
  </si>
  <si>
    <t>(809) 785-2914</t>
  </si>
  <si>
    <t>Intendente de la Gobernación en Santo Domingo Este</t>
  </si>
  <si>
    <t>Marcelina (Chía)</t>
  </si>
  <si>
    <t>Hernández</t>
  </si>
  <si>
    <t>(849) 456-1743</t>
  </si>
  <si>
    <t>Vicealcaldesa SDE</t>
  </si>
  <si>
    <t xml:space="preserve">Angela </t>
  </si>
  <si>
    <t>(829) 720-7277</t>
  </si>
  <si>
    <t xml:space="preserve">Ex Gobernadora </t>
  </si>
  <si>
    <t xml:space="preserve">Julia </t>
  </si>
  <si>
    <t>Grullard</t>
  </si>
  <si>
    <t>(829) 341-1791</t>
  </si>
  <si>
    <t>Coordinador Reg. 3F</t>
  </si>
  <si>
    <t>Antonio</t>
  </si>
  <si>
    <t>García</t>
  </si>
  <si>
    <t>Presidente de la Región 3C (Santo Domingo Este)</t>
  </si>
  <si>
    <t>Juan Francisco </t>
  </si>
  <si>
    <t>Barrera</t>
  </si>
  <si>
    <t>(809) 865-4449</t>
  </si>
  <si>
    <t>Curruco. Pte. Reg 3E</t>
  </si>
  <si>
    <t>Juan José</t>
  </si>
  <si>
    <t>Javier</t>
  </si>
  <si>
    <t xml:space="preserve"> (809) 407-6386</t>
  </si>
  <si>
    <t>Dirigente PRM en SDE</t>
  </si>
  <si>
    <t xml:space="preserve">Adan </t>
  </si>
  <si>
    <t>Peguero</t>
  </si>
  <si>
    <t>(809) 222-4742</t>
  </si>
  <si>
    <t>Secretario General PRM en SDE</t>
  </si>
  <si>
    <t>Rafael</t>
  </si>
  <si>
    <t>Vásquez</t>
  </si>
  <si>
    <t>809-751-4013</t>
  </si>
  <si>
    <t>-</t>
  </si>
  <si>
    <t>Regidor Santo Domingo Este</t>
  </si>
  <si>
    <r>
      <rPr>
        <rFont val="Aptos Narrow"/>
        <color rgb="FF000000"/>
        <sz val="12.0"/>
      </rPr>
      <t>Miguel Fortuna Martínez</t>
    </r>
  </si>
  <si>
    <t>809-869-3507</t>
  </si>
  <si>
    <r>
      <rPr>
        <rFont val="Aptos Narrow"/>
        <color rgb="FF000000"/>
        <sz val="12.0"/>
      </rPr>
      <t>Ana Johanny Duran Rosario</t>
    </r>
  </si>
  <si>
    <t>809-915-8177</t>
  </si>
  <si>
    <t>No contesto</t>
  </si>
  <si>
    <r>
      <rPr>
        <rFont val="Aptos Narrow"/>
        <color rgb="FF000000"/>
        <sz val="12.0"/>
      </rPr>
      <t>Yamil Fortuna Rodríguez</t>
    </r>
  </si>
  <si>
    <t>829-637-2311</t>
  </si>
  <si>
    <r>
      <rPr>
        <rFont val="Aptos Narrow"/>
        <color rgb="FF000000"/>
        <sz val="12.0"/>
      </rPr>
      <t>Estela García</t>
    </r>
  </si>
  <si>
    <t>849-455-3716</t>
  </si>
  <si>
    <r>
      <rPr>
        <rFont val="Aptos Narrow"/>
        <color rgb="FF000000"/>
        <sz val="12.0"/>
      </rPr>
      <t>José Luis Flores</t>
    </r>
  </si>
  <si>
    <t>829-521-6737</t>
  </si>
  <si>
    <r>
      <rPr>
        <rFont val="Aptos Narrow"/>
        <color rgb="FF000000"/>
        <sz val="12.0"/>
      </rPr>
      <t>Juan Arturo Santos</t>
    </r>
  </si>
  <si>
    <t>829-650-6943</t>
  </si>
  <si>
    <r>
      <rPr>
        <rFont val="Aptos Narrow"/>
        <color rgb="FF000000"/>
        <sz val="12.0"/>
      </rPr>
      <t>Fior Arias Fernández</t>
    </r>
  </si>
  <si>
    <t>829-788-8562</t>
  </si>
  <si>
    <r>
      <rPr>
        <rFont val="Aptos Narrow"/>
        <color rgb="FF000000"/>
        <sz val="12.0"/>
      </rPr>
      <t>Isabel María Pérez</t>
    </r>
  </si>
  <si>
    <t>829-580-5620</t>
  </si>
  <si>
    <r>
      <rPr>
        <rFont val="Aptos Narrow"/>
        <color rgb="FF000000"/>
        <sz val="12.0"/>
      </rPr>
      <t>Antonio Feliz Feliz</t>
    </r>
  </si>
  <si>
    <t>809-916-2702</t>
  </si>
  <si>
    <r>
      <rPr>
        <rFont val="Aptos Narrow"/>
        <color rgb="FF000000"/>
        <sz val="12.0"/>
      </rPr>
      <t>Walkiria koreane Medina Pichardo</t>
    </r>
  </si>
  <si>
    <t>809-769-3829</t>
  </si>
  <si>
    <r>
      <rPr>
        <rFont val="Aptos Narrow"/>
        <color rgb="FF000000"/>
        <sz val="12.0"/>
      </rPr>
      <t>Darío Batista Encarnación</t>
    </r>
  </si>
  <si>
    <t>849-455-1853</t>
  </si>
  <si>
    <r>
      <rPr>
        <rFont val="Aptos Narrow"/>
        <color rgb="FF000000"/>
        <sz val="12.0"/>
      </rPr>
      <t>Enmanuel Feliz Durán</t>
    </r>
  </si>
  <si>
    <t>809-602-0987</t>
  </si>
  <si>
    <t>No Asistira</t>
  </si>
  <si>
    <r>
      <rPr>
        <rFont val="Aptos Narrow"/>
        <color rgb="FF000000"/>
        <sz val="12.0"/>
      </rPr>
      <t>Wander García Vólquez</t>
    </r>
  </si>
  <si>
    <t>829-292-2096</t>
  </si>
  <si>
    <r>
      <rPr>
        <rFont val="Aptos Narrow"/>
        <color rgb="FF000000"/>
        <sz val="12.0"/>
      </rPr>
      <t>José Antonio Ramírez Polanco</t>
    </r>
  </si>
  <si>
    <t>849-452-2107</t>
  </si>
  <si>
    <r>
      <rPr>
        <rFont val="Aptos Narrow"/>
        <color rgb="FF000000"/>
        <sz val="12.0"/>
      </rPr>
      <t>Manuel R. Fernández Peralta</t>
    </r>
  </si>
  <si>
    <t>809-390-6307</t>
  </si>
  <si>
    <r>
      <rPr>
        <rFont val="Aptos Narrow"/>
        <color rgb="FF000000"/>
        <sz val="12.0"/>
      </rPr>
      <t>Eligio Rodríguez Rodríguez</t>
    </r>
  </si>
  <si>
    <t>829-579-0104</t>
  </si>
  <si>
    <r>
      <rPr>
        <rFont val="Aptos Narrow"/>
        <color rgb="FF000000"/>
        <sz val="12.0"/>
      </rPr>
      <t>Juan De La Cruz Calderón Sánchez</t>
    </r>
  </si>
  <si>
    <t>849-455-5590</t>
  </si>
  <si>
    <r>
      <rPr>
        <rFont val="Aptos Narrow"/>
        <color rgb="FF000000"/>
        <sz val="12.0"/>
      </rPr>
      <t>Jehimy Esthefany Núñez Pérez</t>
    </r>
  </si>
  <si>
    <t>809-988-1523</t>
  </si>
  <si>
    <r>
      <rPr>
        <rFont val="Aptos Narrow"/>
        <color rgb="FF000000"/>
        <sz val="12.0"/>
      </rPr>
      <t>Eduvigen Rosario González</t>
    </r>
  </si>
  <si>
    <t>849-620-1121</t>
  </si>
  <si>
    <r>
      <rPr>
        <rFont val="Aptos Narrow"/>
        <color rgb="FF000000"/>
        <sz val="12.0"/>
      </rPr>
      <t>Miguel Angel Rosario Perez</t>
    </r>
  </si>
  <si>
    <t>809-869-1456</t>
  </si>
  <si>
    <r>
      <rPr>
        <rFont val="Aptos Narrow"/>
        <color rgb="FF000000"/>
        <sz val="12.0"/>
      </rPr>
      <t>Monserrat Calderón</t>
    </r>
  </si>
  <si>
    <t>829-521-6745</t>
  </si>
  <si>
    <r>
      <rPr>
        <rFont val="Aptos Narrow"/>
        <color rgb="FF000000"/>
        <sz val="12.0"/>
      </rPr>
      <t>Manuel Villanueva Solorin</t>
    </r>
  </si>
  <si>
    <t>809-875-1347</t>
  </si>
  <si>
    <r>
      <rPr>
        <rFont val="Aptos Narrow"/>
        <color rgb="FF000000"/>
        <sz val="12.0"/>
      </rPr>
      <t>Vandana M. Doekhi Ramírez</t>
    </r>
  </si>
  <si>
    <t>829-580-2358</t>
  </si>
  <si>
    <r>
      <rPr>
        <rFont val="Aptos Narrow"/>
        <color rgb="FF000000"/>
        <sz val="12.0"/>
      </rPr>
      <t>José Manuel del Rosario</t>
    </r>
  </si>
  <si>
    <t>829-308-1468</t>
  </si>
  <si>
    <r>
      <rPr>
        <rFont val="Aptos Narrow"/>
        <color rgb="FF000000"/>
        <sz val="12.0"/>
      </rPr>
      <t>José Guillermo Morrobel</t>
    </r>
  </si>
  <si>
    <t>809-886-3098</t>
  </si>
  <si>
    <r>
      <rPr>
        <rFont val="Aptos Narrow"/>
        <color rgb="FF000000"/>
        <sz val="12.0"/>
      </rPr>
      <t>Rafaela Anibelka Rodríguez</t>
    </r>
  </si>
  <si>
    <t>849-453-3395</t>
  </si>
  <si>
    <r>
      <rPr>
        <rFont val="Aptos Narrow"/>
        <color rgb="FF000000"/>
        <sz val="12.0"/>
      </rPr>
      <t>Gelson Antigua Rivera</t>
    </r>
  </si>
  <si>
    <t>809-757-3417</t>
  </si>
  <si>
    <r>
      <rPr>
        <rFont val="Aptos Narrow"/>
        <color rgb="FF000000"/>
        <sz val="12.0"/>
      </rPr>
      <t>Aileen Decamps</t>
    </r>
  </si>
  <si>
    <t>829-977-8015</t>
  </si>
  <si>
    <r>
      <rPr>
        <rFont val="Aptos Narrow"/>
        <color rgb="FF000000"/>
        <sz val="12.0"/>
      </rPr>
      <t>Crismely J. Pinales Minyety</t>
    </r>
  </si>
  <si>
    <t>829-521-6668</t>
  </si>
  <si>
    <r>
      <rPr>
        <rFont val="Aptos Narrow"/>
        <color rgb="FF000000"/>
        <sz val="12.0"/>
      </rPr>
      <t>Francisco Terrero Cedano</t>
    </r>
  </si>
  <si>
    <t>849-262-7285</t>
  </si>
  <si>
    <r>
      <rPr>
        <rFont val="Aptos Narrow"/>
        <color rgb="FF000000"/>
        <sz val="12.0"/>
      </rPr>
      <t>Juan Francisco Rosa Cabral</t>
    </r>
  </si>
  <si>
    <t>809-869-7881</t>
  </si>
  <si>
    <r>
      <rPr>
        <rFont val="Aptos Narrow"/>
        <color rgb="FF000000"/>
        <sz val="12.0"/>
      </rPr>
      <t>Ángel Luis Abreu</t>
    </r>
  </si>
  <si>
    <t>809-773-2222</t>
  </si>
  <si>
    <t>Ocram Leinad Caminero Santana</t>
  </si>
  <si>
    <t>809-986-1059</t>
  </si>
  <si>
    <t>Pte. Región 3D</t>
  </si>
  <si>
    <t>José Ramón</t>
  </si>
  <si>
    <t>Jiménez</t>
  </si>
  <si>
    <t>(809) 370-2598</t>
  </si>
  <si>
    <t>Director Ejecutivo CEA </t>
  </si>
  <si>
    <t>Burgos Gómez </t>
  </si>
  <si>
    <t>809-669-4515 </t>
  </si>
  <si>
    <t>Vicepresidente Provincial </t>
  </si>
  <si>
    <t>Alexis Jiménez </t>
  </si>
  <si>
    <t>809-924-4305 </t>
  </si>
  <si>
    <t>Diputado  </t>
  </si>
  <si>
    <t>Jheyson Castillo  </t>
  </si>
  <si>
    <t>809-429-7391 </t>
  </si>
  <si>
    <t>Yancarlos Simanca  </t>
  </si>
  <si>
    <t>809-785-2914 </t>
  </si>
  <si>
    <t>Diputado </t>
  </si>
  <si>
    <t>Pedro Julio Pepen  </t>
  </si>
  <si>
    <t>829-912-9096 </t>
  </si>
  <si>
    <t>Diputada </t>
  </si>
  <si>
    <t>Altagracia De los Santos </t>
  </si>
  <si>
    <t>829-962-9702 </t>
  </si>
  <si>
    <t>A cargo de Maria</t>
  </si>
  <si>
    <t xml:space="preserve">Presidente region 3B SDE </t>
  </si>
  <si>
    <t>Gelson Antigua</t>
  </si>
  <si>
    <t>809-757-3417 </t>
  </si>
  <si>
    <t>Miembro presidente zona B</t>
  </si>
  <si>
    <t xml:space="preserve">Antonio Carrión </t>
  </si>
  <si>
    <t>809-603-4371</t>
  </si>
  <si>
    <t>Miembro presidente zona C</t>
  </si>
  <si>
    <t xml:space="preserve">Elvis Martínez </t>
  </si>
  <si>
    <t>829-636-0193</t>
  </si>
  <si>
    <t>Miembro presidente zona D</t>
  </si>
  <si>
    <t xml:space="preserve">Rafael José </t>
  </si>
  <si>
    <t>809-912-4369</t>
  </si>
  <si>
    <t>Miembro presidente zona F</t>
  </si>
  <si>
    <t xml:space="preserve">Vidal Castillo Arias </t>
  </si>
  <si>
    <t>829-970-2395</t>
  </si>
  <si>
    <t>Miembro presidente zona G</t>
  </si>
  <si>
    <t xml:space="preserve">Alejandro De León </t>
  </si>
  <si>
    <t>829-327-7000</t>
  </si>
  <si>
    <t>Miembro presidente Zona H</t>
  </si>
  <si>
    <t>Pablo Guzmán Santana</t>
  </si>
  <si>
    <t>809-509-9877</t>
  </si>
  <si>
    <t>1er vicepresidente</t>
  </si>
  <si>
    <t>Dr. Rodolfo Valera Grullón</t>
  </si>
  <si>
    <t>829-760-9988</t>
  </si>
  <si>
    <t>2do vicepresidente</t>
  </si>
  <si>
    <t>Ing. Santos Flores Castillo</t>
  </si>
  <si>
    <t>829-642-1139</t>
  </si>
  <si>
    <t>3er vicepresidente</t>
  </si>
  <si>
    <t>Lic. Robert Carrión</t>
  </si>
  <si>
    <t>Secretario General</t>
  </si>
  <si>
    <t>Ing. Danilo Cabrera</t>
  </si>
  <si>
    <t>829-723-9276</t>
  </si>
  <si>
    <t>1er Subsecretario</t>
  </si>
  <si>
    <t>Lic. Francisco del Villar</t>
  </si>
  <si>
    <t>809-648-1566</t>
  </si>
  <si>
    <t>2do Subsecretario</t>
  </si>
  <si>
    <t>Julio Cesar Nau</t>
  </si>
  <si>
    <t>829-517-9721</t>
  </si>
  <si>
    <t>3er Subsecretario</t>
  </si>
  <si>
    <t>Rafael Rodríguez Díaz</t>
  </si>
  <si>
    <t>809-302-2982</t>
  </si>
  <si>
    <t>Secretario de Organización</t>
  </si>
  <si>
    <t>Ramon Sánchez Mateo</t>
  </si>
  <si>
    <t>829-772-4886</t>
  </si>
  <si>
    <t>Secretario Electoral</t>
  </si>
  <si>
    <t>Enrique Calzado</t>
  </si>
  <si>
    <t>809-818-4895</t>
  </si>
  <si>
    <t>Secretario de Educación</t>
  </si>
  <si>
    <t>Lic. Mariano Cuello</t>
  </si>
  <si>
    <t>829-517-8015</t>
  </si>
  <si>
    <t>Alcaldesa junta Municipal</t>
  </si>
  <si>
    <t>Arq. Wendy Cepeda</t>
  </si>
  <si>
    <t>849-344-2982</t>
  </si>
  <si>
    <t>Presidente comisión de ética y diciplina</t>
  </si>
  <si>
    <t xml:space="preserve">Lic. Elis G. Inoa </t>
  </si>
  <si>
    <t>809-803-7528</t>
  </si>
  <si>
    <t>NO</t>
  </si>
  <si>
    <t xml:space="preserve">Fiscal </t>
  </si>
  <si>
    <t>Lic. Guarionex Montero</t>
  </si>
  <si>
    <t>849-880-4682</t>
  </si>
  <si>
    <t>Secretario de Finanzas</t>
  </si>
  <si>
    <t>Juan Familia</t>
  </si>
  <si>
    <t>829-578-8230</t>
  </si>
  <si>
    <t>Secretario de Asuntos Municipales</t>
  </si>
  <si>
    <t>Ing. Juan Benítez</t>
  </si>
  <si>
    <t>809-650-1267</t>
  </si>
  <si>
    <t>Secretario de transformación digital</t>
  </si>
  <si>
    <t>Edgar de Jesús</t>
  </si>
  <si>
    <t>829-430-6227</t>
  </si>
  <si>
    <t>Secretario de la Sociedad Civil</t>
  </si>
  <si>
    <t>Andrés Feliciano</t>
  </si>
  <si>
    <t>849-626-2126</t>
  </si>
  <si>
    <t>Secretario Técnico y de políticas Publicas</t>
  </si>
  <si>
    <t>Marcos Alcántara</t>
  </si>
  <si>
    <t>829-689-5740</t>
  </si>
  <si>
    <t>Secretario de asuntos legales</t>
  </si>
  <si>
    <t xml:space="preserve">Lic. Solido Encarnación </t>
  </si>
  <si>
    <t>809-877-2024</t>
  </si>
  <si>
    <t>Presidenta Mujeres Modernas</t>
  </si>
  <si>
    <t>Elizabeth Burgos</t>
  </si>
  <si>
    <t>809-774-4329</t>
  </si>
  <si>
    <t>Presidente de Juventud Moderna</t>
  </si>
  <si>
    <t>Josué de los Santos</t>
  </si>
  <si>
    <t>829-491-6624</t>
  </si>
  <si>
    <t>Secretario de Acta y Correspondencia</t>
  </si>
  <si>
    <t>Porfirio Muñoz (Jorge)</t>
  </si>
  <si>
    <t>809-754-5590</t>
  </si>
  <si>
    <t>Miembro presidente zona A</t>
  </si>
  <si>
    <t>Juan Bautista Baldomero</t>
  </si>
  <si>
    <t>829-770-7210</t>
  </si>
  <si>
    <t>Regidor  </t>
  </si>
  <si>
    <t>Gerson Lantigua  </t>
  </si>
  <si>
    <t>809-916-2702 </t>
  </si>
  <si>
    <t>Antonio Feliz  </t>
  </si>
  <si>
    <t>849-455-3716 </t>
  </si>
  <si>
    <t>Regidora  </t>
  </si>
  <si>
    <t>Estela García  </t>
  </si>
  <si>
    <t>809-988-1523 </t>
  </si>
  <si>
    <t>Jehimy Estefany Núñez </t>
  </si>
  <si>
    <t>829-702-9252 </t>
  </si>
  <si>
    <t>Líder Municipal  </t>
  </si>
  <si>
    <t>Felo Tejeda  </t>
  </si>
  <si>
    <t>809-548-4818 </t>
  </si>
  <si>
    <t>Líder de la Mujer Municipio </t>
  </si>
  <si>
    <t>Yuderka Batista </t>
  </si>
  <si>
    <t>809-777-0467 </t>
  </si>
  <si>
    <t>Enlace Presidencial Santo E. </t>
  </si>
  <si>
    <t>Otto Vargas  </t>
  </si>
  <si>
    <t>849 410 5880 </t>
  </si>
  <si>
    <t>Lic. Alfredo Herrera Rodríguez</t>
  </si>
  <si>
    <t>Presidente</t>
  </si>
  <si>
    <t>809-949-9432</t>
  </si>
  <si>
    <t xml:space="preserve">Miembros Alcaldia Santo Domingo Este </t>
  </si>
  <si>
    <t>Dahiana Esther Cueto</t>
  </si>
  <si>
    <t>Yarisa Maite Morillo Jimenez</t>
  </si>
  <si>
    <t>Laura Marie Mendez</t>
  </si>
  <si>
    <t>Periodista y Encargada de RRPP Ayntamiento Santo Domingo Este</t>
  </si>
  <si>
    <t>Julissa Morel</t>
  </si>
  <si>
    <t xml:space="preserve">Presidente Fundacion Sumando Esfuerzos </t>
  </si>
  <si>
    <t>Luisito</t>
  </si>
  <si>
    <t>Pie</t>
  </si>
  <si>
    <t>Presidente Club Deportivo Las Palmas CJB</t>
  </si>
  <si>
    <t>Sabel</t>
  </si>
  <si>
    <t>Montilla</t>
  </si>
  <si>
    <t>Presidente Club Deportivo &amp; Cultural CJB</t>
  </si>
  <si>
    <t>Morys</t>
  </si>
  <si>
    <t>Ureña</t>
  </si>
  <si>
    <t>Presidente Liga Quezada</t>
  </si>
  <si>
    <t xml:space="preserve">Jose </t>
  </si>
  <si>
    <t>Quezada</t>
  </si>
  <si>
    <t xml:space="preserve">Presidente Liga Los Vecinitos </t>
  </si>
  <si>
    <t xml:space="preserve">Rafael </t>
  </si>
  <si>
    <t>Zapata</t>
  </si>
  <si>
    <t>MIEMBROS DE LA BANCA</t>
  </si>
  <si>
    <t>Director Fideicomisos Públicos Fiduciaria Banreservas</t>
  </si>
  <si>
    <t>Shyam Fernández</t>
  </si>
  <si>
    <t>(809) 960-4580</t>
  </si>
  <si>
    <t>ASISTIRÁ</t>
  </si>
  <si>
    <t>A cargo de Penelope</t>
  </si>
  <si>
    <t>Director  Finanzas y Contabilidad  Fiduciaria Banreservas</t>
  </si>
  <si>
    <t>Juan Carlos Mañon</t>
  </si>
  <si>
    <t>Gerente de División Fideicomisos Públicos  Fiduciaria Banreservas</t>
  </si>
  <si>
    <t>Clara Rodriguez</t>
  </si>
  <si>
    <t>(809) 604-5856</t>
  </si>
  <si>
    <t>Gerente de División Operaciones  Fiduciaria Banreservas</t>
  </si>
  <si>
    <t>Olga Tatiana Martinez</t>
  </si>
  <si>
    <t>Subgerente de Comunicaciones y Relaciones Publicas  Fiduciaria Banreservas</t>
  </si>
  <si>
    <t>Cherry Jacquez</t>
  </si>
  <si>
    <t>Subgerente  Fideicomisos Públicos  Fiduciaria Banreservas</t>
  </si>
  <si>
    <t>Arodis Jacquez</t>
  </si>
  <si>
    <t>Subgerente Fideicomisos Públicos  Fiduciaria Banreservas</t>
  </si>
  <si>
    <t>Melvin Soler</t>
  </si>
  <si>
    <t>Oficial Fideicomisos Públicos  Fiduciaria Banreservas</t>
  </si>
  <si>
    <t>Alina Diez</t>
  </si>
  <si>
    <t>VP Ejecutivo Banca Corporativa &amp; Empresarial, Banco BHD</t>
  </si>
  <si>
    <r>
      <rPr>
        <rFont val="Calibri"/>
        <color theme="1"/>
        <sz val="11.0"/>
      </rPr>
      <t>Guillermo Méndez</t>
    </r>
    <r>
      <rPr>
        <rFont val="Calibri"/>
        <color theme="1"/>
        <sz val="18.0"/>
      </rPr>
      <t xml:space="preserve"> </t>
    </r>
  </si>
  <si>
    <t>VICEPRESIDENTE EJECUTIVO SINIOR DE NEGOCIOS –</t>
  </si>
  <si>
    <t xml:space="preserve"> ISIDRO GARCIA </t>
  </si>
  <si>
    <r>
      <rPr>
        <rFont val="Times New Roman"/>
        <color theme="1"/>
        <sz val="7.0"/>
      </rPr>
      <t xml:space="preserve"> </t>
    </r>
    <r>
      <rPr>
        <rFont val="Calibri"/>
        <color theme="1"/>
        <sz val="12.0"/>
      </rPr>
      <t>VP EJECUTIVO SINIOR DE EMPRESAS SUBSIDIARIAS –</t>
    </r>
  </si>
  <si>
    <t xml:space="preserve"> JUAN ALBERTO MUSTAFA</t>
  </si>
  <si>
    <t>VP DE SUBSIDIARIAS –</t>
  </si>
  <si>
    <t xml:space="preserve"> VILLANUEVA</t>
  </si>
  <si>
    <t xml:space="preserve">VP ARS – </t>
  </si>
  <si>
    <t>JOSE MARTIN RIVERA GABIRONDO</t>
  </si>
  <si>
    <r>
      <rPr>
        <rFont val="Times New Roman"/>
        <color theme="1"/>
        <sz val="7.0"/>
      </rPr>
      <t> </t>
    </r>
    <r>
      <rPr>
        <rFont val="Calibri"/>
        <color theme="1"/>
        <sz val="12.0"/>
      </rPr>
      <t xml:space="preserve">VP AFP – </t>
    </r>
  </si>
  <si>
    <t>HENRY FUENTES</t>
  </si>
  <si>
    <t xml:space="preserve">VP SEGUROS – </t>
  </si>
  <si>
    <t xml:space="preserve">LUIS VALDEZ </t>
  </si>
  <si>
    <t xml:space="preserve">VP DE SEPROI – </t>
  </si>
  <si>
    <t xml:space="preserve">EDWARD SANCHEZ GONZALEZ </t>
  </si>
  <si>
    <t>VP Infraestructura &amp; PIC, Banco BHD</t>
  </si>
  <si>
    <t>Susana Reid</t>
  </si>
  <si>
    <t>VP Ventas Indirectas, Banco BHD</t>
  </si>
  <si>
    <r>
      <rPr>
        <rFont val="Calibri"/>
        <color theme="1"/>
        <sz val="11.0"/>
      </rPr>
      <t>Freddy Simo</t>
    </r>
    <r>
      <rPr>
        <rFont val="Calibri"/>
        <color theme="1"/>
        <sz val="18.0"/>
      </rPr>
      <t xml:space="preserve"> </t>
    </r>
  </si>
  <si>
    <t>2da VP Banca Corporativa Empresarial, Banco BHD</t>
  </si>
  <si>
    <r>
      <rPr>
        <rFont val="Calibri"/>
        <color theme="1"/>
        <sz val="11.0"/>
      </rPr>
      <t>Giselle Sánchez</t>
    </r>
    <r>
      <rPr>
        <rFont val="Calibri"/>
        <color theme="1"/>
        <sz val="18.0"/>
      </rPr>
      <t xml:space="preserve"> </t>
    </r>
  </si>
  <si>
    <t>Gerente Senior Evaluación de Proyectos Inmobiliarios, Banco BHD</t>
  </si>
  <si>
    <t xml:space="preserve">Patricia Mustonen </t>
  </si>
  <si>
    <t>Miembro Comité de Crédito, Banco BHD</t>
  </si>
  <si>
    <t xml:space="preserve">Steven Puig </t>
  </si>
  <si>
    <t>(829) 883-2235 (Noelia VP Relaciones Públicas y Eventos)</t>
  </si>
  <si>
    <t>NO CONTESTA</t>
  </si>
  <si>
    <t>Representante APAP</t>
  </si>
  <si>
    <t>Gustavo Ariza</t>
  </si>
  <si>
    <t>Representante ALNAP</t>
  </si>
  <si>
    <t>Gustavo Zuluaga</t>
  </si>
  <si>
    <t>VILMA FABIAN 8097478033</t>
  </si>
  <si>
    <t>Presidente - Coopvive</t>
  </si>
  <si>
    <t>Domingo Diaz Javier</t>
  </si>
  <si>
    <t>8096884593/8092216211</t>
  </si>
  <si>
    <t>Director Alianzas - Banreservas</t>
  </si>
  <si>
    <t>Richard Lopez</t>
  </si>
  <si>
    <t>Director Alianzas Estrategicas - Banreservas</t>
  </si>
  <si>
    <t>Paula Maria Gonzalez</t>
  </si>
  <si>
    <t>Presidente - Fiducorp</t>
  </si>
  <si>
    <t>Evelyn Chávez Bonetti</t>
  </si>
  <si>
    <t>(809) 566-4993 (Contacto oficina)</t>
  </si>
  <si>
    <t xml:space="preserve">POR CONFIRMAR </t>
  </si>
  <si>
    <t xml:space="preserve">Fiduciaria DAF Partners </t>
  </si>
  <si>
    <t>Felipe Germade</t>
  </si>
  <si>
    <t>Banco Popular Dominicano</t>
  </si>
  <si>
    <t>Leonte Brea</t>
  </si>
  <si>
    <t>809-857-0075</t>
  </si>
  <si>
    <t>Claudia Jorge</t>
  </si>
  <si>
    <t>Directora Gestión Servicio al Cliente -  Fiduciaria Reservas</t>
  </si>
  <si>
    <t>Ana Adela de la Cruz</t>
  </si>
  <si>
    <t>Presidente Asociación de Sociedades Fiduciarias Dominicanas, Inc. ASOFIDOM</t>
  </si>
  <si>
    <t>Christian Molina</t>
  </si>
  <si>
    <r>
      <rPr>
        <rFont val="Calibri"/>
        <color theme="1"/>
        <sz val="11.0"/>
      </rPr>
      <t>Fidelio Despradel</t>
    </r>
    <r>
      <rPr>
        <rFont val="Calibri"/>
        <color theme="1"/>
        <sz val="18.0"/>
      </rPr>
      <t xml:space="preserve"> </t>
    </r>
  </si>
  <si>
    <t xml:space="preserve">José Luis Alonso </t>
  </si>
  <si>
    <t xml:space="preserve">Rodrigo Mora </t>
  </si>
  <si>
    <t xml:space="preserve">Quilvio Cabral </t>
  </si>
  <si>
    <t xml:space="preserve">Magdalena De Tineo </t>
  </si>
  <si>
    <t xml:space="preserve">Jorge Besosa </t>
  </si>
  <si>
    <t xml:space="preserve">José Manuel Santos </t>
  </si>
  <si>
    <t>Miembro Comité Superior, Banco BHD</t>
  </si>
  <si>
    <t xml:space="preserve">Carlos Guillermo León </t>
  </si>
  <si>
    <t xml:space="preserve">José Rafael Clase Martínez </t>
  </si>
  <si>
    <t xml:space="preserve">Ramón Ortega </t>
  </si>
  <si>
    <t>CONSTRUCTORES</t>
  </si>
  <si>
    <t>CONSTRUCTORA CALICHE, SRL</t>
  </si>
  <si>
    <t>ING. CARLOS VARGAS BREA</t>
  </si>
  <si>
    <t>809-481-4844</t>
  </si>
  <si>
    <t>ASISTIRA</t>
  </si>
  <si>
    <t>A cargo de Franchesca</t>
  </si>
  <si>
    <t>ROBERTO CRUZ INGENIERIA Y PREFABRICADOS, SRL</t>
  </si>
  <si>
    <t>ING. ROBERTO CRUZ</t>
  </si>
  <si>
    <t>849-653-3881</t>
  </si>
  <si>
    <t>CONSTRUCTORA DUALMA, SRL</t>
  </si>
  <si>
    <t>ING. BENNY MARTINEZ</t>
  </si>
  <si>
    <t>829-383-2672</t>
  </si>
  <si>
    <t xml:space="preserve">NO CONTESTA </t>
  </si>
  <si>
    <t>CONSTRUCORA SERCONSA, SRL</t>
  </si>
  <si>
    <t>ING. RAFAEL VALDIVIESO</t>
  </si>
  <si>
    <t>809-604-5586</t>
  </si>
  <si>
    <t>O'REILLY &amp; ASOCIOADOS, SRL</t>
  </si>
  <si>
    <t xml:space="preserve">ING. ERIC O'REILLY </t>
  </si>
  <si>
    <t>809-769-1979</t>
  </si>
  <si>
    <t>CONSTRUCTORA MOVEXCO, S.R.L.</t>
  </si>
  <si>
    <t>ING. LUIS AMÉRICO D'ANTONIO MEJÍA</t>
  </si>
  <si>
    <t>809-330-3888</t>
  </si>
  <si>
    <t>INGENIEROS &amp; ARQUITECTOS DOMINICANOS, S.R.L. (INARDOSA)</t>
  </si>
  <si>
    <t>ING. DOUGLAS ALEXANDER CARVAJAL SÁNCHEZ</t>
  </si>
  <si>
    <t>809-669-9720</t>
  </si>
  <si>
    <t xml:space="preserve">ING. EMILIO GONZALEZ </t>
  </si>
  <si>
    <t>809-980-7152</t>
  </si>
  <si>
    <t>ING. JORGE LUIS BORGES</t>
  </si>
  <si>
    <t>809-480-7717</t>
  </si>
  <si>
    <t xml:space="preserve">ASISTIRA </t>
  </si>
  <si>
    <t xml:space="preserve">SI </t>
  </si>
  <si>
    <t>ING. JOY JOUBERT</t>
  </si>
  <si>
    <t>809-224-5671</t>
  </si>
  <si>
    <t>ING. MARCOS JOSE ROSARIO</t>
  </si>
  <si>
    <t>NO PODRA ASISTIR</t>
  </si>
  <si>
    <t>Presidente Constructora Bisonó</t>
  </si>
  <si>
    <t>Ing. Rafael V</t>
  </si>
  <si>
    <t xml:space="preserve">Bisonó </t>
  </si>
  <si>
    <t>(849) 653-8112</t>
  </si>
  <si>
    <t>ESPERANDO CONFIRMACION</t>
  </si>
  <si>
    <t>Gerente de Proyectos Constructora Bisonó</t>
  </si>
  <si>
    <t>Ing. Roberto Rafael</t>
  </si>
  <si>
    <t>García Barceló</t>
  </si>
  <si>
    <t>Ing. Rafael Emilio</t>
  </si>
  <si>
    <t>Bisonó Pacheco</t>
  </si>
  <si>
    <t>Director de Patio Capital Partners</t>
  </si>
  <si>
    <t>Eloi Melendez</t>
  </si>
  <si>
    <t>809-966-3746</t>
  </si>
  <si>
    <t>Consorcio Ingasa-Risek</t>
  </si>
  <si>
    <t>RAUL RIZEK</t>
  </si>
  <si>
    <t>809-501-1780</t>
  </si>
  <si>
    <t>BUZON DE VOZ</t>
  </si>
  <si>
    <t>Constructores Modernos ICM</t>
  </si>
  <si>
    <t>PEDRO SARMIENTO</t>
  </si>
  <si>
    <t>809-570-3100</t>
  </si>
  <si>
    <t>Constructora del Pais Codelpa</t>
  </si>
  <si>
    <t>ALVARO MANUEL PENA DIAZ</t>
  </si>
  <si>
    <t>829-257-1843</t>
  </si>
  <si>
    <t>Servinsco</t>
  </si>
  <si>
    <t>CESAR VIRGILIO OLIVA NOLASCO</t>
  </si>
  <si>
    <t>809-363-8337</t>
  </si>
  <si>
    <t>Grupo Inmobiliario Terrazas GIT</t>
  </si>
  <si>
    <t>JUAN OLIVERO</t>
  </si>
  <si>
    <t>(829) 719-0624</t>
  </si>
  <si>
    <t>Consorcio Pequeño Burgues</t>
  </si>
  <si>
    <t>ING. JORGE RODRÍGUEZ</t>
  </si>
  <si>
    <t>829-659-7251</t>
  </si>
  <si>
    <t>Constructora OV</t>
  </si>
  <si>
    <t>PEDRO OLLER</t>
  </si>
  <si>
    <t>809-383-8787</t>
  </si>
  <si>
    <t xml:space="preserve">Constructora Bisono </t>
  </si>
  <si>
    <t>Steve Tiller – Southern Bridge Capital</t>
  </si>
  <si>
    <t>Dr. Pablo Gonzalez</t>
  </si>
  <si>
    <t>Ing. Roberto R. García Bisonó</t>
  </si>
  <si>
    <t>Ing. Rafael Emilio Bisonó Pacheco</t>
  </si>
  <si>
    <t>Ing. Brandon Paniagua Bisonó</t>
  </si>
  <si>
    <t>Ing. Diogenes Antigua</t>
  </si>
  <si>
    <t>Juan Antonio</t>
  </si>
  <si>
    <t>Bisono Pacheco</t>
  </si>
  <si>
    <t>Shirley de Bisono e hijo</t>
  </si>
  <si>
    <t>Ing. Aurelio Mendez</t>
  </si>
  <si>
    <t>Ing. Miguel Quezada</t>
  </si>
  <si>
    <t xml:space="preserve">PRESIDENTE DE CONSORCIO </t>
  </si>
  <si>
    <t>HABITAD –UNO</t>
  </si>
  <si>
    <t>FRANKLIN SUARES</t>
  </si>
  <si>
    <t>809-504-3081</t>
  </si>
  <si>
    <t>A cargo de  Fraddi</t>
  </si>
  <si>
    <t>FLORAZHAR</t>
  </si>
  <si>
    <t>ALEX TAPIA</t>
  </si>
  <si>
    <t>809-988-8601</t>
  </si>
  <si>
    <t>CAMINO VERDE</t>
  </si>
  <si>
    <t>NEHEMIA GUZMAN</t>
  </si>
  <si>
    <t>829-884-7822</t>
  </si>
  <si>
    <t>LA MAÑOSA</t>
  </si>
  <si>
    <t>ANA CATALINA PEREZ</t>
  </si>
  <si>
    <t>849-353-4607</t>
  </si>
  <si>
    <t>SEMBRADOR- I OESTE</t>
  </si>
  <si>
    <t>FRANCISCO GUILLEN</t>
  </si>
  <si>
    <t>829-534-4062</t>
  </si>
  <si>
    <t>SEMBRADOR- I ESTE</t>
  </si>
  <si>
    <t>EDGAR PEREZ</t>
  </si>
  <si>
    <t>809-415-7667</t>
  </si>
  <si>
    <t>SEMBRADOR- I SUR</t>
  </si>
  <si>
    <t xml:space="preserve">LOUIS JOUBERT/ JULIA ASILIS ABREU </t>
  </si>
  <si>
    <t>809-769-9956</t>
  </si>
  <si>
    <t>SEMBRADOR- I NORTE</t>
  </si>
  <si>
    <t>HECTOR MENDEZ</t>
  </si>
  <si>
    <t>809-543-3584</t>
  </si>
  <si>
    <t>LA GAVIOTA</t>
  </si>
  <si>
    <t>ANYER CASTRO</t>
  </si>
  <si>
    <t>809-403-9043</t>
  </si>
  <si>
    <t>LA MARQUESA</t>
  </si>
  <si>
    <t>JHONATAN ROSARIO</t>
  </si>
  <si>
    <t>849-205-6022</t>
  </si>
  <si>
    <t>CRISFER XV</t>
  </si>
  <si>
    <t>RONALD SEGURA</t>
  </si>
  <si>
    <t>829-342-9058</t>
  </si>
  <si>
    <t>RIO VERDE</t>
  </si>
  <si>
    <t>ERNESTO ACOSTA</t>
  </si>
  <si>
    <t>809-763-3071</t>
  </si>
  <si>
    <t>DOS AMIGOS ETAPA-1</t>
  </si>
  <si>
    <t>WINTONY DE LOS SANTOS</t>
  </si>
  <si>
    <t>809-916-0303</t>
  </si>
  <si>
    <t>DOS AMIGOS ETAPA-2</t>
  </si>
  <si>
    <t>VINICIO MONTERO</t>
  </si>
  <si>
    <t>849-357-3000</t>
  </si>
  <si>
    <t>PALMERA DEL ESTE –I</t>
  </si>
  <si>
    <t>SANTA SUAREZ LUGO</t>
  </si>
  <si>
    <t>829-307-6392</t>
  </si>
  <si>
    <t>PAMERAS DEL ESTE –II</t>
  </si>
  <si>
    <t>SABEL MONTILLA</t>
  </si>
  <si>
    <t>829-916-7188</t>
  </si>
  <si>
    <t xml:space="preserve">NELIO VALDEZ </t>
  </si>
  <si>
    <t>809-492-3552</t>
  </si>
  <si>
    <t>ANTARES –UNO</t>
  </si>
  <si>
    <t>JOSE BENJAMIN SANCHEZ</t>
  </si>
  <si>
    <t>829-261-7304</t>
  </si>
  <si>
    <t xml:space="preserve">ANTARES - UNO </t>
  </si>
  <si>
    <t xml:space="preserve">LUISA FRIA </t>
  </si>
  <si>
    <t>829-905-7972</t>
  </si>
  <si>
    <t>ANTARES –DOS ETPA-4</t>
  </si>
  <si>
    <t>ZULIA POLINE</t>
  </si>
  <si>
    <t>829-717-7056</t>
  </si>
  <si>
    <t>SEMBRADOR –IV</t>
  </si>
  <si>
    <t xml:space="preserve">DANIEL POLANCO </t>
  </si>
  <si>
    <t>809-849-9966</t>
  </si>
  <si>
    <t>SEMBRADOR –V</t>
  </si>
  <si>
    <t>VIRGILIO NUÑEZ</t>
  </si>
  <si>
    <t>809-457-7802</t>
  </si>
  <si>
    <t>ANTARES -3</t>
  </si>
  <si>
    <t>JOSE PEÑA</t>
  </si>
  <si>
    <t>809-754-6178</t>
  </si>
  <si>
    <t>PALMERAS –III</t>
  </si>
  <si>
    <t>ISAURA PEÑALO</t>
  </si>
  <si>
    <t>809-904-0214</t>
  </si>
  <si>
    <t>PALMERAS –IV</t>
  </si>
  <si>
    <t>ANA CABRERAS</t>
  </si>
  <si>
    <t>809-934-0660</t>
  </si>
  <si>
    <t>PEQUEÑOS BURGUES</t>
  </si>
  <si>
    <t xml:space="preserve">WILFREDO SANTOS/ </t>
  </si>
  <si>
    <t>809-917-0019</t>
  </si>
  <si>
    <t>RES. 1933</t>
  </si>
  <si>
    <t>DANIEL GIL</t>
  </si>
  <si>
    <t>829-208-7784</t>
  </si>
  <si>
    <t>LA QUINTA RESIDENT</t>
  </si>
  <si>
    <t>KELVIN ABREU</t>
  </si>
  <si>
    <t>829-451-7702</t>
  </si>
  <si>
    <t>HABITAD- DOS</t>
  </si>
  <si>
    <t>WILFREDO TEJADA</t>
  </si>
  <si>
    <t>829-848-4377</t>
  </si>
  <si>
    <t>RES. RIO GRANDE</t>
  </si>
  <si>
    <t>RAFAEL MELO</t>
  </si>
  <si>
    <t>829-712-0406</t>
  </si>
  <si>
    <t>RES. 1909</t>
  </si>
  <si>
    <t>JUNITO DE LA CRUZ</t>
  </si>
  <si>
    <t>849-445-7570</t>
  </si>
  <si>
    <t>SEMBRADOR –II</t>
  </si>
  <si>
    <t>DIONICIA ACOSTA</t>
  </si>
  <si>
    <t>829-981-4612</t>
  </si>
  <si>
    <t>SEMBRADOR -III</t>
  </si>
  <si>
    <t>CESAR SOTO</t>
  </si>
  <si>
    <t>829-662-8882</t>
  </si>
  <si>
    <t>SMEBRADOR –VII</t>
  </si>
  <si>
    <t>RUTBELINA SANTIAGO</t>
  </si>
  <si>
    <t>829-350-4354</t>
  </si>
  <si>
    <t>RES. LAS FLORES</t>
  </si>
  <si>
    <t>TONY RODRIGUEZ</t>
  </si>
  <si>
    <t>829-918-2810</t>
  </si>
  <si>
    <t>PLAZA MARQUESA T-I</t>
  </si>
  <si>
    <t>DANIEL ABREU</t>
  </si>
  <si>
    <t>809-891-6380</t>
  </si>
  <si>
    <t xml:space="preserve">LIDERES COMUNITARIOS </t>
  </si>
  <si>
    <t>CRUZ MARIA PEÑALO</t>
  </si>
  <si>
    <t>829-925-2744</t>
  </si>
  <si>
    <t>A cargo de Liosys</t>
  </si>
  <si>
    <t>ANEURIS MOSQUEA</t>
  </si>
  <si>
    <t>829-864-8702</t>
  </si>
  <si>
    <t>ANTARES –DOS</t>
  </si>
  <si>
    <t>EVELIN PANIAGUA</t>
  </si>
  <si>
    <t>829-350-1320</t>
  </si>
  <si>
    <t>PALMERAS- I Y II</t>
  </si>
  <si>
    <t xml:space="preserve">PEDRO VILORIO </t>
  </si>
  <si>
    <t>809-299-3629</t>
  </si>
  <si>
    <t>EDUAR GONZALEZ</t>
  </si>
  <si>
    <t>829-863-2823</t>
  </si>
  <si>
    <t>DOS AMIGOS</t>
  </si>
  <si>
    <t>RAMON CHAVEZ</t>
  </si>
  <si>
    <t>809-844-7208</t>
  </si>
  <si>
    <t>RAFAEL DIAZ DIAZ</t>
  </si>
  <si>
    <t>809-880-8281</t>
  </si>
  <si>
    <t>SEMBRADOR –I</t>
  </si>
  <si>
    <t>KELVIN SERRANO</t>
  </si>
  <si>
    <t>809-207-3660</t>
  </si>
  <si>
    <t>MAXIMO PACHECHO</t>
  </si>
  <si>
    <t>809-449-4763</t>
  </si>
  <si>
    <t>SEMBRADOR –VII</t>
  </si>
  <si>
    <t>ALEXANDER VALLEJO</t>
  </si>
  <si>
    <t>809-917-7024</t>
  </si>
  <si>
    <t>GERALDO VIZCAINO</t>
  </si>
  <si>
    <t>809-885-3546</t>
  </si>
  <si>
    <t>ANTARES –I</t>
  </si>
  <si>
    <t>CESAR CUEVA</t>
  </si>
  <si>
    <t>809-973-8393</t>
  </si>
  <si>
    <t xml:space="preserve">JOSE OGANDO </t>
  </si>
  <si>
    <t>809-284-6225</t>
  </si>
  <si>
    <t>ANTARES -*UNO</t>
  </si>
  <si>
    <t>LEONARDO DURAN</t>
  </si>
  <si>
    <t xml:space="preserve"> 829-786-2143</t>
  </si>
  <si>
    <t>GUSTAVO MORETA</t>
  </si>
  <si>
    <t>849-265-1323</t>
  </si>
  <si>
    <t xml:space="preserve">ADMINITRACION DE CONDOMINIO </t>
  </si>
  <si>
    <t xml:space="preserve">GECONSA SRL </t>
  </si>
  <si>
    <t xml:space="preserve">SUGEY PEREZ </t>
  </si>
  <si>
    <t>809-904-7997</t>
  </si>
  <si>
    <t xml:space="preserve">CONDESA SRL </t>
  </si>
  <si>
    <t xml:space="preserve">HECTOR SUERO </t>
  </si>
  <si>
    <t>829-889-9411</t>
  </si>
  <si>
    <t xml:space="preserve">CONDAY SRL </t>
  </si>
  <si>
    <t xml:space="preserve">ROSMERY VELOZ </t>
  </si>
  <si>
    <t>809-440-1853</t>
  </si>
  <si>
    <t>Directores y Encargados Instituciones CJB</t>
  </si>
  <si>
    <t>Escuela primaria Hnas. Mirabal</t>
  </si>
  <si>
    <t xml:space="preserve"> Santa Rodríguez Rincón</t>
  </si>
  <si>
    <t>829-246-6517</t>
  </si>
  <si>
    <t>Escuela primaria Prof. Juan Bosch</t>
  </si>
  <si>
    <t xml:space="preserve"> Yolanda de Peña</t>
  </si>
  <si>
    <t>829-559-8609</t>
  </si>
  <si>
    <t>Escuela primaria Gabriela Mistral</t>
  </si>
  <si>
    <t xml:space="preserve"> Evelyn de Paula</t>
  </si>
  <si>
    <t>829-467-0036</t>
  </si>
  <si>
    <t>Escuela Primaria Orlando Martínez</t>
  </si>
  <si>
    <t xml:space="preserve"> Milton Aquino</t>
  </si>
  <si>
    <t>829-984-6124</t>
  </si>
  <si>
    <t>Politécnico Evangelina Bergés</t>
  </si>
  <si>
    <t xml:space="preserve"> Ruth de los Santos</t>
  </si>
  <si>
    <t>829-405-9190</t>
  </si>
  <si>
    <t>Politécnico Fray Balbino Pineda Galvez</t>
  </si>
  <si>
    <t xml:space="preserve"> Ana Iris Bautista Nuñez</t>
  </si>
  <si>
    <t>829-943-0608</t>
  </si>
  <si>
    <t>Caipi I</t>
  </si>
  <si>
    <t xml:space="preserve"> Rose Melany Marine</t>
  </si>
  <si>
    <t>829-758-6284</t>
  </si>
  <si>
    <t>Caipi II</t>
  </si>
  <si>
    <t xml:space="preserve"> Rosy Mejia</t>
  </si>
  <si>
    <t>829-747-9359</t>
  </si>
  <si>
    <t>Directora CAIPI 3 CJB</t>
  </si>
  <si>
    <t>Verenice</t>
  </si>
  <si>
    <t>809-653-8113</t>
  </si>
  <si>
    <t>Directora Escuela Cambita Garabito</t>
  </si>
  <si>
    <t xml:space="preserve">Milton </t>
  </si>
  <si>
    <t>Aquino</t>
  </si>
  <si>
    <t>Directora Inaipi</t>
  </si>
  <si>
    <t xml:space="preserve">Josefa </t>
  </si>
  <si>
    <t>809-669-4632</t>
  </si>
  <si>
    <t>Directora Hospital CJB</t>
  </si>
  <si>
    <t>Dra. Marilelda Reyes</t>
  </si>
  <si>
    <t>Sub Directora Hospital CJB</t>
  </si>
  <si>
    <t>Dra.Niovi Santos</t>
  </si>
  <si>
    <t>Directora Centro diagnostico CJB</t>
  </si>
  <si>
    <t>Dra. Hidriza Beltrán</t>
  </si>
  <si>
    <t>Dra  Area VI de Salud</t>
  </si>
  <si>
    <t>Dra. Karen Gomez Romano</t>
  </si>
  <si>
    <t>Director parque de Educación Vial CJB</t>
  </si>
  <si>
    <t>Lic. Rafael Diaz</t>
  </si>
  <si>
    <t>Directora Conape CJB</t>
  </si>
  <si>
    <t>Lic. Elvira Perez</t>
  </si>
  <si>
    <t>INFOTEP CJB</t>
  </si>
  <si>
    <t>Sr. Henrry Sánchez</t>
  </si>
  <si>
    <t>829-697-7967</t>
  </si>
  <si>
    <t>Teniente Coronel CJB</t>
  </si>
  <si>
    <t>Willian Morel Mariano P.N</t>
  </si>
  <si>
    <t>Encargado DNCD</t>
  </si>
  <si>
    <t>Teniente Coronel Hansel Barriguete</t>
  </si>
  <si>
    <t>Director del Cuerpo de Bomberos</t>
  </si>
  <si>
    <t xml:space="preserve">General Roberto Santos </t>
  </si>
  <si>
    <t>C Bomberos CJB</t>
  </si>
  <si>
    <t>Mayor Montero</t>
  </si>
  <si>
    <t>849 401 5975 </t>
  </si>
  <si>
    <t>Director de seguridad del Ayuntamiento</t>
  </si>
  <si>
    <t xml:space="preserve">Teniente Coronel Juan Ramon Aquino </t>
  </si>
  <si>
    <t>Director Municipal de la Defensa Civil</t>
  </si>
  <si>
    <t>Juan Carlos Campaña</t>
  </si>
  <si>
    <t xml:space="preserve"> Director 911</t>
  </si>
  <si>
    <t>Coronel Reyes Montero</t>
  </si>
  <si>
    <t>Directora del Liceo  Francisco  Alberto Caamaño Deñó</t>
  </si>
  <si>
    <t xml:space="preserve">Idalia Antonia </t>
  </si>
  <si>
    <t>Hiches De Ramírez</t>
  </si>
  <si>
    <t>829-449-1272</t>
  </si>
  <si>
    <t>Encargado para de educación Vial CJB INSTRANT</t>
  </si>
  <si>
    <t>Diaz</t>
  </si>
  <si>
    <t>809-368-0033</t>
  </si>
  <si>
    <t>Fundación Todo por medio de la Música</t>
  </si>
  <si>
    <t>Cesarina Castillo</t>
  </si>
  <si>
    <t>829-431-7789</t>
  </si>
  <si>
    <t>Brenda Castillo</t>
  </si>
  <si>
    <t>Yuliana Castillo</t>
  </si>
  <si>
    <t>Escuela de Artes EPOK</t>
  </si>
  <si>
    <t>Kelvin Capellán</t>
  </si>
  <si>
    <t>829-563-6344</t>
  </si>
  <si>
    <t>Ing. Mena </t>
  </si>
  <si>
    <t>809-284-9543 </t>
  </si>
  <si>
    <t>Lider Municpal  </t>
  </si>
  <si>
    <t>Robinson Feliz </t>
  </si>
  <si>
    <t>Sup 911 /CJB </t>
  </si>
  <si>
    <t>Javier Aquino  </t>
  </si>
  <si>
    <t>Patricia Reynoso </t>
  </si>
  <si>
    <t>Mini Alcalde CJB</t>
  </si>
  <si>
    <t>Abner Martinez</t>
  </si>
  <si>
    <t>809 714 1146 </t>
  </si>
  <si>
    <t>Enc OP CJB</t>
  </si>
  <si>
    <t>Blas Jimenez</t>
  </si>
  <si>
    <t>Enc. Corredor  OMSA CJB</t>
  </si>
  <si>
    <t>Pedro</t>
  </si>
  <si>
    <t>Encargado</t>
  </si>
  <si>
    <t xml:space="preserve">Jesus </t>
  </si>
  <si>
    <t>Pineda</t>
  </si>
  <si>
    <t>Cor. Administrativa</t>
  </si>
  <si>
    <t>Martha</t>
  </si>
  <si>
    <t>Tejada</t>
  </si>
  <si>
    <t>Directora centro de diagnostico y atención primaria CJB</t>
  </si>
  <si>
    <t xml:space="preserve">Dra Hidriza </t>
  </si>
  <si>
    <t>Beltran</t>
  </si>
  <si>
    <t xml:space="preserve">MEDIOS </t>
  </si>
  <si>
    <t xml:space="preserve">Periodista El Día </t>
  </si>
  <si>
    <t>Edith Febles</t>
  </si>
  <si>
    <t>(809) 977-3286</t>
  </si>
  <si>
    <t>A cargo de Hidekel Polanco</t>
  </si>
  <si>
    <t>Amelia Dechamps</t>
  </si>
  <si>
    <t xml:space="preserve">Germán Marte </t>
  </si>
  <si>
    <t>Esto No es Radio</t>
  </si>
  <si>
    <t>Gabi Desangles</t>
  </si>
  <si>
    <t>(809) 224-6050</t>
  </si>
  <si>
    <t>Ariel Santana</t>
  </si>
  <si>
    <t>(849) 846-1207</t>
  </si>
  <si>
    <t xml:space="preserve">Pedro Casals </t>
  </si>
  <si>
    <t>Ramón Tolentino</t>
  </si>
  <si>
    <t>(809) 260-6078</t>
  </si>
  <si>
    <t>Hansel Garcia</t>
  </si>
  <si>
    <t>(829) 273-7963</t>
  </si>
  <si>
    <t>UNO + UNO</t>
  </si>
  <si>
    <t>Millizen Uribe</t>
  </si>
  <si>
    <t>(829) 344-7100</t>
  </si>
  <si>
    <t>Adalberto Grullón</t>
  </si>
  <si>
    <t>(809) 440-5260</t>
  </si>
  <si>
    <t>Manuel &amp; Heremes</t>
  </si>
  <si>
    <t xml:space="preserve">HERMES Meccariello </t>
  </si>
  <si>
    <t>(829) 765-5683</t>
  </si>
  <si>
    <t>Manuel Meccariello Cadiz</t>
  </si>
  <si>
    <t>El Show del Mediodía</t>
  </si>
  <si>
    <t>Ivan Ruiz</t>
  </si>
  <si>
    <t>(809) 404-0424</t>
  </si>
  <si>
    <t>Julio Clemente</t>
  </si>
  <si>
    <t>Presentadora</t>
  </si>
  <si>
    <t>809 266 2244</t>
  </si>
  <si>
    <t>El Sol de la Tarde</t>
  </si>
  <si>
    <t>Julio Martínez Pozo</t>
  </si>
  <si>
    <t>Euri Cabral</t>
  </si>
  <si>
    <t>María Elena Núñez</t>
  </si>
  <si>
    <t>Consuelo Despradel</t>
  </si>
  <si>
    <t>Pedro Jiménez</t>
  </si>
  <si>
    <t>Najib Chahede</t>
  </si>
  <si>
    <t>Virgilio Feliz</t>
  </si>
  <si>
    <t>José Laluz </t>
  </si>
  <si>
    <r>
      <rPr>
        <rFont val="Calibri"/>
        <color theme="1"/>
        <sz val="11.0"/>
      </rPr>
      <t>Manuel Cruz</t>
    </r>
    <r>
      <rPr>
        <rFont val="Arial"/>
        <color rgb="FF0A0A0A"/>
        <sz val="8.0"/>
      </rPr>
      <t>. </t>
    </r>
  </si>
  <si>
    <t>El Gobierno de La Tarde</t>
  </si>
  <si>
    <t>Kalil Michel</t>
  </si>
  <si>
    <t>829 659 9037</t>
  </si>
  <si>
    <t>Julia Muñiz Suberví</t>
  </si>
  <si>
    <t>Rafael Gutiérrez</t>
  </si>
  <si>
    <t>Nathalie Hazim</t>
  </si>
  <si>
    <t>Robert Martínez</t>
  </si>
  <si>
    <t>Erinia Peralta</t>
  </si>
  <si>
    <t>Joselito Félix</t>
  </si>
  <si>
    <t>Prida Félix</t>
  </si>
  <si>
    <t>Elvis Lima. </t>
  </si>
  <si>
    <t>Despierta con la X</t>
  </si>
  <si>
    <t>Ico Abreu</t>
  </si>
  <si>
    <t>(829) 616-9942</t>
  </si>
  <si>
    <t>Iván Alcántara</t>
  </si>
  <si>
    <t>Julio Pelichones </t>
  </si>
  <si>
    <t>Uriel Zuriel</t>
  </si>
  <si>
    <t>Carmen Rodríguez</t>
  </si>
  <si>
    <t>Franco Olivares </t>
  </si>
  <si>
    <t xml:space="preserve">Arte y Medio </t>
  </si>
  <si>
    <t>Wanda Sánchez</t>
  </si>
  <si>
    <t>(809) 850-4184</t>
  </si>
  <si>
    <r>
      <rPr>
        <rFont val="Calibri"/>
        <color theme="1"/>
        <sz val="11.0"/>
      </rPr>
      <t>El Mangú de la Mañana</t>
    </r>
    <r>
      <rPr>
        <rFont val="Arial"/>
        <color rgb="FF474747"/>
        <sz val="7.0"/>
      </rPr>
      <t> </t>
    </r>
  </si>
  <si>
    <t>Denisse Larrauri</t>
  </si>
  <si>
    <r>
      <rPr>
        <rFont val="Calibri"/>
        <color theme="1"/>
        <sz val="11.0"/>
      </rPr>
      <t>El Mangú de la Mañana</t>
    </r>
    <r>
      <rPr>
        <rFont val="Arial"/>
        <color rgb="FF474747"/>
        <sz val="7.0"/>
      </rPr>
      <t> </t>
    </r>
  </si>
  <si>
    <t>Alex Santiago</t>
  </si>
  <si>
    <r>
      <rPr>
        <rFont val="Calibri"/>
        <color theme="1"/>
        <sz val="11.0"/>
      </rPr>
      <t>El Mangú de la Mañana</t>
    </r>
    <r>
      <rPr>
        <rFont val="Arial"/>
        <color rgb="FF474747"/>
        <sz val="7.0"/>
      </rPr>
      <t> </t>
    </r>
  </si>
  <si>
    <t>Samir Saba</t>
  </si>
  <si>
    <r>
      <rPr>
        <rFont val="Calibri"/>
        <color theme="1"/>
        <sz val="11.0"/>
      </rPr>
      <t>El Mangú de la Mañana</t>
    </r>
    <r>
      <rPr>
        <rFont val="Arial"/>
        <color rgb="FF474747"/>
        <sz val="7.0"/>
      </rPr>
      <t> </t>
    </r>
  </si>
  <si>
    <t>Diana Filpo</t>
  </si>
  <si>
    <r>
      <rPr>
        <rFont val="Calibri"/>
        <color theme="1"/>
        <sz val="11.0"/>
      </rPr>
      <t>El Mangú de la Mañana</t>
    </r>
    <r>
      <rPr>
        <rFont val="Arial"/>
        <color rgb="FF474747"/>
        <sz val="7.0"/>
      </rPr>
      <t> </t>
    </r>
  </si>
  <si>
    <t>Carla Morel</t>
  </si>
  <si>
    <r>
      <rPr>
        <rFont val="Calibri"/>
        <color theme="1"/>
        <sz val="11.0"/>
      </rPr>
      <t>El Mangú de la Mañana</t>
    </r>
    <r>
      <rPr>
        <rFont val="Arial"/>
        <color rgb="FF474747"/>
        <sz val="7.0"/>
      </rPr>
      <t> </t>
    </r>
  </si>
  <si>
    <t>Ruth Ocumárez</t>
  </si>
  <si>
    <r>
      <rPr>
        <rFont val="Calibri"/>
        <color theme="1"/>
        <sz val="11.0"/>
      </rPr>
      <t>El Mangú de la Mañana</t>
    </r>
    <r>
      <rPr>
        <rFont val="Arial"/>
        <color rgb="FF474747"/>
        <sz val="7.0"/>
      </rPr>
      <t> </t>
    </r>
  </si>
  <si>
    <t>Kris Viñas</t>
  </si>
  <si>
    <t>Periodista</t>
  </si>
  <si>
    <t xml:space="preserve">Roberto Cavada </t>
  </si>
  <si>
    <t>(829) 344-9141</t>
  </si>
  <si>
    <t>El podcast del Periódico Hoy </t>
  </si>
  <si>
    <t>Jasmín Valdez</t>
  </si>
  <si>
    <t>849 404 5081</t>
  </si>
  <si>
    <t>Wendy Leonardo</t>
  </si>
  <si>
    <t>Juego de Damas</t>
  </si>
  <si>
    <t>Evelyna Rodríguez</t>
  </si>
  <si>
    <t>(829) 399-3805</t>
  </si>
  <si>
    <t>Milly de Moya</t>
  </si>
  <si>
    <t>Irina Peguero</t>
  </si>
  <si>
    <t>Saray Perez</t>
  </si>
  <si>
    <t>Isaura Taveras</t>
  </si>
  <si>
    <t>Matinal </t>
  </si>
  <si>
    <t>Persio Maldonado</t>
  </si>
  <si>
    <t>(829) 703-8561</t>
  </si>
  <si>
    <t>Laura Castellanos</t>
  </si>
  <si>
    <t>Laura Jáquez</t>
  </si>
  <si>
    <t>Domingo del Pilar</t>
  </si>
  <si>
    <t>Raxiel Coordinadora de Matinal</t>
  </si>
  <si>
    <t>CEO Alofoke Medio Group</t>
  </si>
  <si>
    <t xml:space="preserve">Santiago Matias </t>
  </si>
  <si>
    <t>829 323 8643</t>
  </si>
  <si>
    <t>CEO Grupo de Medios Panorama </t>
  </si>
  <si>
    <t>Miguel Medina</t>
  </si>
  <si>
    <t>(809) 475-2525</t>
  </si>
  <si>
    <t>CEO - Acento - 7 dias</t>
  </si>
  <si>
    <t>José Ramón Brea</t>
  </si>
  <si>
    <t>Grupo Medrano</t>
  </si>
  <si>
    <t>Juan Heriberto Medrano</t>
  </si>
  <si>
    <t>(809) 573-2872</t>
  </si>
  <si>
    <t>CEO Color Vision</t>
  </si>
  <si>
    <t>Domingo Bermúdez</t>
  </si>
  <si>
    <t>(809) 224-6840</t>
  </si>
  <si>
    <t>CEO GRUPO OMNIMEDIA S.A (Diario Libre)</t>
  </si>
  <si>
    <t>Manuel Arturo Pellerano Peña</t>
  </si>
  <si>
    <t>CEO GRUPOS DE MEDIOS TELEMICRO</t>
  </si>
  <si>
    <t>Jose Ramon Gomez Diaz</t>
  </si>
  <si>
    <t>Nieta 829-715-7021</t>
  </si>
  <si>
    <t>Multimedios Del Caribe (El Caribe, CDN canal 37 y emisoras radiales)</t>
  </si>
  <si>
    <t>Manuel Estrella</t>
  </si>
  <si>
    <t>Félix García</t>
  </si>
  <si>
    <t xml:space="preserve">Gepiano Podcast </t>
  </si>
  <si>
    <t>Giulio Gepiano</t>
  </si>
  <si>
    <t xml:space="preserve"> (829) 222-8075 (Contacto Frank Olivares )</t>
  </si>
  <si>
    <t>Frank Olivares</t>
  </si>
  <si>
    <t>(829) 222-8075</t>
  </si>
  <si>
    <t xml:space="preserve">Influencers </t>
  </si>
  <si>
    <t>Ana María Cornelio</t>
  </si>
  <si>
    <t>829-883-0004</t>
  </si>
  <si>
    <t>Panda Fit (Lisbeth Perez)</t>
  </si>
  <si>
    <t>(829) 669-0887</t>
  </si>
  <si>
    <t>Panelista programa No se Diga Mas</t>
  </si>
  <si>
    <t xml:space="preserve">1. Alex barrios </t>
  </si>
  <si>
    <t>829-682-3004</t>
  </si>
  <si>
    <t xml:space="preserve">2. Karina Alarcón </t>
  </si>
  <si>
    <t>Solicitar a uno de los companeros del mismo programa</t>
  </si>
  <si>
    <t>3. Maximo Romero</t>
  </si>
  <si>
    <t>829-986-6449</t>
  </si>
  <si>
    <t>4. Miralba Ruiz</t>
  </si>
  <si>
    <t>809-481-9876</t>
  </si>
  <si>
    <t>5-Jorge Chaljub</t>
  </si>
  <si>
    <t>829-718-6071</t>
  </si>
  <si>
    <t>Alicia Ortega</t>
  </si>
  <si>
    <t>(809) 863-4477</t>
  </si>
  <si>
    <t xml:space="preserve">Periodista </t>
  </si>
  <si>
    <t>Nairobi Vilorio</t>
  </si>
  <si>
    <t>(829) 638-2626</t>
  </si>
  <si>
    <t>Jessica Hasbun</t>
  </si>
  <si>
    <t>FAMILIAS VINCULADAS</t>
  </si>
  <si>
    <t>CÉDULA</t>
  </si>
  <si>
    <t>NOMBRES</t>
  </si>
  <si>
    <t>APELLIDOS</t>
  </si>
  <si>
    <t>No.</t>
  </si>
  <si>
    <t>00111607107</t>
  </si>
  <si>
    <t>GERTRUDIS MARGARITA</t>
  </si>
  <si>
    <t>OLIVO RODRIGUEZ</t>
  </si>
  <si>
    <t>CARLOS</t>
  </si>
  <si>
    <t>RAFAEL JORGE</t>
  </si>
  <si>
    <t>07800112380</t>
  </si>
  <si>
    <t>WHERBIN ANECCIS</t>
  </si>
  <si>
    <t>ARACHE FELIZ</t>
  </si>
  <si>
    <t>WALDO</t>
  </si>
  <si>
    <t>ENCARNACION DE OLEO</t>
  </si>
  <si>
    <t>MIGUEL ANGEL</t>
  </si>
  <si>
    <t>NOVAS PEREZ</t>
  </si>
  <si>
    <t>00117250977</t>
  </si>
  <si>
    <t>JOHAN MIGUEL</t>
  </si>
  <si>
    <t>HENRIQUEZ GUZMAN</t>
  </si>
  <si>
    <t>ELIZABETH</t>
  </si>
  <si>
    <t>MATOS CUEVAS</t>
  </si>
  <si>
    <t>00115918690</t>
  </si>
  <si>
    <t>JOSE VINICIO</t>
  </si>
  <si>
    <t>RONE VAZQUEZ</t>
  </si>
  <si>
    <t>04800831564</t>
  </si>
  <si>
    <t>MIGUE</t>
  </si>
  <si>
    <t>ORTIZ RODRIGUEZ</t>
  </si>
  <si>
    <t>LUISA</t>
  </si>
  <si>
    <t>FRANCISCO CRUCEY</t>
  </si>
  <si>
    <t>JOAQUIN</t>
  </si>
  <si>
    <t>CAMILO FURCAL</t>
  </si>
  <si>
    <t>JOLAYNE MARIA</t>
  </si>
  <si>
    <t>MARTINEZ DEL ORBE</t>
  </si>
  <si>
    <t>00119016509</t>
  </si>
  <si>
    <t>DORCA ESTHER</t>
  </si>
  <si>
    <t>RAMIREZ ADAMES</t>
  </si>
  <si>
    <t>SILVERINA</t>
  </si>
  <si>
    <t>SEVERINO ROSARIO</t>
  </si>
  <si>
    <t>06700140004</t>
  </si>
  <si>
    <t>IDALINA ALTAGRACIA</t>
  </si>
  <si>
    <t>AVILA DEL ROSARIO DE BLANCO</t>
  </si>
  <si>
    <t>GUSTAVO REY</t>
  </si>
  <si>
    <t>RAMIREZ PLASENCIO</t>
  </si>
  <si>
    <t>JOSELO ANTONIO</t>
  </si>
  <si>
    <t>PERALTA CRUCETA</t>
  </si>
  <si>
    <t>MARIA DOLORES</t>
  </si>
  <si>
    <t>GARCIA GAVINO</t>
  </si>
  <si>
    <t>00104495502</t>
  </si>
  <si>
    <t>ROSELIN DEL CARMEN</t>
  </si>
  <si>
    <t>DURAN VALDEZ</t>
  </si>
  <si>
    <t>PABLO JOEL</t>
  </si>
  <si>
    <t>SANCHEZ SEVERINO</t>
  </si>
  <si>
    <t>ELVIS</t>
  </si>
  <si>
    <t>PEREZ CABRERA</t>
  </si>
  <si>
    <t>00105661839</t>
  </si>
  <si>
    <t>ADRIAN</t>
  </si>
  <si>
    <t>GOMEZ MONTERO</t>
  </si>
  <si>
    <t>00111351243</t>
  </si>
  <si>
    <t>SANDY RAFAEL</t>
  </si>
  <si>
    <t>MORA CUEVAS</t>
  </si>
  <si>
    <t>MILEISY YOBELIN</t>
  </si>
  <si>
    <t>ALMANZAR PUJOLS</t>
  </si>
  <si>
    <t>ALTAGRACIA</t>
  </si>
  <si>
    <t>CASTILLO PEREZ</t>
  </si>
  <si>
    <t>MARLENY</t>
  </si>
  <si>
    <t>NUÑEZ NUÑEZ</t>
  </si>
  <si>
    <t>08600064599</t>
  </si>
  <si>
    <t>BILL</t>
  </si>
  <si>
    <t>PINEDA PEREZ</t>
  </si>
  <si>
    <t>BEVERLY</t>
  </si>
  <si>
    <t>ALMONTE</t>
  </si>
  <si>
    <t>00400237723</t>
  </si>
  <si>
    <t>ISABEL</t>
  </si>
  <si>
    <t>LEON ESCOTO</t>
  </si>
  <si>
    <t>CARLOS JOSE</t>
  </si>
  <si>
    <t>PAULINO PICHARDO</t>
  </si>
  <si>
    <t>FELIX</t>
  </si>
  <si>
    <t>MERAN GARCIA</t>
  </si>
  <si>
    <t>00103405668</t>
  </si>
  <si>
    <t>JOHANNI</t>
  </si>
  <si>
    <t>PANIAGUA DE LA CRUZ</t>
  </si>
  <si>
    <t>MONTESQUIEU</t>
  </si>
  <si>
    <t>MARRERO RAMIREZ</t>
  </si>
  <si>
    <t>03103018697</t>
  </si>
  <si>
    <t>ANDREINA</t>
  </si>
  <si>
    <t>GONZALEZ MARTINEZ</t>
  </si>
  <si>
    <t>00116139072</t>
  </si>
  <si>
    <t>GISSEL MARGARITA</t>
  </si>
  <si>
    <t>SIME PAEZ</t>
  </si>
  <si>
    <t>ALEX OMAR</t>
  </si>
  <si>
    <t>SALVADOR LEBRON</t>
  </si>
  <si>
    <t>00117055483</t>
  </si>
  <si>
    <t>ISSA MARGARET</t>
  </si>
  <si>
    <t>DE JESUS CUEVA</t>
  </si>
  <si>
    <t>ALBANIA ESTHER</t>
  </si>
  <si>
    <t>MENDEZ MATA</t>
  </si>
  <si>
    <t>MARIA LEONARDA</t>
  </si>
  <si>
    <t>GIL ARIAS</t>
  </si>
  <si>
    <t>00117079608</t>
  </si>
  <si>
    <t>ANTOLIN</t>
  </si>
  <si>
    <t>PERALTA PERALTA</t>
  </si>
  <si>
    <t>05500216998</t>
  </si>
  <si>
    <t>ELIO</t>
  </si>
  <si>
    <t>DE JESUS DILONE</t>
  </si>
  <si>
    <t>EUNISEX MARIA</t>
  </si>
  <si>
    <t>TEJADA ENCARNACION</t>
  </si>
  <si>
    <t>02200283840</t>
  </si>
  <si>
    <t>SANTA SONIA</t>
  </si>
  <si>
    <t>FELIZ VICTORIANO</t>
  </si>
  <si>
    <t>00108853599</t>
  </si>
  <si>
    <t>ARACELIS</t>
  </si>
  <si>
    <t>TIBURCIO GUERRERO</t>
  </si>
  <si>
    <t>00105437255</t>
  </si>
  <si>
    <t>MOISES ABRAHAN</t>
  </si>
  <si>
    <t>SANCHEZ NUÑEZ</t>
  </si>
  <si>
    <t>CRISTINA</t>
  </si>
  <si>
    <t>LOPEZ BAEZ</t>
  </si>
  <si>
    <t>00111149639</t>
  </si>
  <si>
    <t>HAMNA</t>
  </si>
  <si>
    <t>VIOLA ZARZUELA</t>
  </si>
  <si>
    <t>01100395480</t>
  </si>
  <si>
    <t>FRANCHESCA NINOSCA</t>
  </si>
  <si>
    <t>BRAZOBAN VELEZ</t>
  </si>
  <si>
    <t>JUSTINIANO</t>
  </si>
  <si>
    <t>MEJIA FERNANDEZ</t>
  </si>
  <si>
    <t>00113409783</t>
  </si>
  <si>
    <t>NAOMY ESTHER</t>
  </si>
  <si>
    <t>MARTINEZ FABIAN</t>
  </si>
  <si>
    <t>00106321755</t>
  </si>
  <si>
    <t>FELIPA</t>
  </si>
  <si>
    <t>MEDINA DISHMEY</t>
  </si>
  <si>
    <t>07600121060</t>
  </si>
  <si>
    <t>YOBANNY FRANCISCO</t>
  </si>
  <si>
    <t>UREÑA ACOSTA</t>
  </si>
  <si>
    <t>MARIELA</t>
  </si>
  <si>
    <t>ASENCIO CADENA</t>
  </si>
  <si>
    <t>00115129686</t>
  </si>
  <si>
    <t>ELSON BELL</t>
  </si>
  <si>
    <t>GIL SANTOS</t>
  </si>
  <si>
    <t>LISSETTE MARIA</t>
  </si>
  <si>
    <t>CONCEPCION DE CABRERA</t>
  </si>
  <si>
    <t>LEYDY MAGDIEL</t>
  </si>
  <si>
    <t>MARTINEZ MENDOZA</t>
  </si>
  <si>
    <t>RUBEN</t>
  </si>
  <si>
    <t>DIKEN</t>
  </si>
  <si>
    <t>DAVID ANTONIO</t>
  </si>
  <si>
    <t>GOMEZ</t>
  </si>
  <si>
    <t>00101331726</t>
  </si>
  <si>
    <t>RAMON ANTONIO</t>
  </si>
  <si>
    <t>ROSARIO PEÑA</t>
  </si>
  <si>
    <t>MARLENG LETICIA</t>
  </si>
  <si>
    <t>PEREZ MEDINA</t>
  </si>
  <si>
    <t>MAIKER</t>
  </si>
  <si>
    <t>CARVAJAL PAULINO</t>
  </si>
  <si>
    <t>01600112567</t>
  </si>
  <si>
    <t>HAROLIN YOJANA</t>
  </si>
  <si>
    <t>CRUEL MORA</t>
  </si>
  <si>
    <t>01200787685</t>
  </si>
  <si>
    <t>ANDREA</t>
  </si>
  <si>
    <t>PEÑA SUBERVI</t>
  </si>
  <si>
    <t>JAIME</t>
  </si>
  <si>
    <t>VICENTE DE OLEO</t>
  </si>
  <si>
    <t>07700041572</t>
  </si>
  <si>
    <t>KARLA MARIA</t>
  </si>
  <si>
    <t>BELTRE MARTE</t>
  </si>
  <si>
    <t>00117383133</t>
  </si>
  <si>
    <t>MARIO</t>
  </si>
  <si>
    <t>HEREDIA DE PAULA</t>
  </si>
  <si>
    <t>EUDY YADHILKA</t>
  </si>
  <si>
    <t>TRINIDAD CORNIELLE</t>
  </si>
  <si>
    <t>LIGIA SIBELIS</t>
  </si>
  <si>
    <t>DE LEON FELIZ</t>
  </si>
  <si>
    <t>00109348938</t>
  </si>
  <si>
    <t>LEIDI</t>
  </si>
  <si>
    <t>GERMAN TEJEDA</t>
  </si>
  <si>
    <t>MIGUEL ANTONIO</t>
  </si>
  <si>
    <t>BRETON FIGUEROA</t>
  </si>
  <si>
    <t>01200887584</t>
  </si>
  <si>
    <t>WALQUIRIS IVELISSE</t>
  </si>
  <si>
    <t>PERALTA LIRIANO</t>
  </si>
  <si>
    <t>01100415437</t>
  </si>
  <si>
    <t>SAMUEL</t>
  </si>
  <si>
    <t>PEÑA RUBIO</t>
  </si>
  <si>
    <t>YENNY FERNANDINA</t>
  </si>
  <si>
    <t>FORTUNA DELGADO</t>
  </si>
  <si>
    <t>00117481259</t>
  </si>
  <si>
    <t>ROSA LEIDY ESKARLENNY</t>
  </si>
  <si>
    <t>SANTOS BAUTISTA</t>
  </si>
  <si>
    <t>ANA MARIA</t>
  </si>
  <si>
    <t>VILLAVICENCIO DEL CARMEN</t>
  </si>
  <si>
    <t>LUIS OSCAR</t>
  </si>
  <si>
    <t>CORDERO DEMORIZI</t>
  </si>
  <si>
    <t>ELSA PRISCILA</t>
  </si>
  <si>
    <t>MEDINA CALZADO</t>
  </si>
  <si>
    <t>LISVET MARIELA</t>
  </si>
  <si>
    <t>MENDEZ</t>
  </si>
  <si>
    <t>06900071413</t>
  </si>
  <si>
    <t>LOPEZ RAMIREZ</t>
  </si>
  <si>
    <t>02301052045</t>
  </si>
  <si>
    <t>JOSUE DAVID</t>
  </si>
  <si>
    <t>PICHARDO ARIAS</t>
  </si>
  <si>
    <t>VICTOR MANUEL</t>
  </si>
  <si>
    <t>ADAMES ALEJANDRO</t>
  </si>
  <si>
    <t>00104730197</t>
  </si>
  <si>
    <t>YOBANNY ALTAGRACIA</t>
  </si>
  <si>
    <t>DIAZ MONTERO</t>
  </si>
  <si>
    <t>ANDRELISA</t>
  </si>
  <si>
    <t>LOPEZ MARTINEZ</t>
  </si>
  <si>
    <t>00111251807</t>
  </si>
  <si>
    <t>JORGE LUIS</t>
  </si>
  <si>
    <t>HERNANDEZ TAVERAS</t>
  </si>
  <si>
    <t>EZEQUIEL</t>
  </si>
  <si>
    <t>ARAUJO RAMIREZ</t>
  </si>
  <si>
    <t>GUILLERMO</t>
  </si>
  <si>
    <t>HERNANDEZ MEDINA</t>
  </si>
  <si>
    <t>00800228298</t>
  </si>
  <si>
    <t>ENMANUEL</t>
  </si>
  <si>
    <t>FELIZ DURAN</t>
  </si>
  <si>
    <t>ANA FELICIA</t>
  </si>
  <si>
    <t>CASTILLO DUVERGE</t>
  </si>
  <si>
    <t>00103601795</t>
  </si>
  <si>
    <t>FAUSTO ANTONIO</t>
  </si>
  <si>
    <t>MORETA BENITEZ</t>
  </si>
  <si>
    <t>00118639376</t>
  </si>
  <si>
    <t>LIONAL</t>
  </si>
  <si>
    <t>MARTINEZ MONTERO</t>
  </si>
  <si>
    <t>01700160458</t>
  </si>
  <si>
    <t>IVAN MANUEL</t>
  </si>
  <si>
    <t>POLANCO CRUZ</t>
  </si>
  <si>
    <t>00113388870</t>
  </si>
  <si>
    <t>WANDA GISSER</t>
  </si>
  <si>
    <t>MARTINEZ SANTANA</t>
  </si>
  <si>
    <t>KIRSSI ALFONSINA</t>
  </si>
  <si>
    <t>BLANCO CRUZ</t>
  </si>
  <si>
    <t>EMILIA</t>
  </si>
  <si>
    <t>POZO CONTRERAS</t>
  </si>
  <si>
    <t>00102781457</t>
  </si>
  <si>
    <t>IRONELYS</t>
  </si>
  <si>
    <t>CASTILLO MONTERO</t>
  </si>
  <si>
    <t>01200583100</t>
  </si>
  <si>
    <t>ENRIQUE VICENTE</t>
  </si>
  <si>
    <t>ADON</t>
  </si>
  <si>
    <t>KIRSYS YOLANDA</t>
  </si>
  <si>
    <t>MORALES RODRIGUEZ</t>
  </si>
  <si>
    <t>01400168496</t>
  </si>
  <si>
    <t>VERONICA</t>
  </si>
  <si>
    <t>ALCANTARA AMADOR</t>
  </si>
  <si>
    <t>RAYMUNDO ANTONIO</t>
  </si>
  <si>
    <t>FRIAS FURCAL</t>
  </si>
  <si>
    <t>00119301851</t>
  </si>
  <si>
    <t>MARIA ALTAGRACIA</t>
  </si>
  <si>
    <t>JAVIER GUZMAN</t>
  </si>
  <si>
    <t>00111753943</t>
  </si>
  <si>
    <t>XENIA MILAGROS</t>
  </si>
  <si>
    <t>VIGAY MELLA</t>
  </si>
  <si>
    <t>LORENZA</t>
  </si>
  <si>
    <t>DE LEON MORA</t>
  </si>
  <si>
    <t>LUISANA</t>
  </si>
  <si>
    <t>PENSO ALCANTARA</t>
  </si>
  <si>
    <t>00112859384</t>
  </si>
  <si>
    <t>GONZALEZ CEBALLOS</t>
  </si>
  <si>
    <t>00117033050</t>
  </si>
  <si>
    <t>ELY ANTONIO</t>
  </si>
  <si>
    <t>RUBELKYS ALTAGRACIA</t>
  </si>
  <si>
    <t>SANTOS URBAEZ DE BORDONARO</t>
  </si>
  <si>
    <t>MIGUELINA AMPARO</t>
  </si>
  <si>
    <t>MARTE CAPELLAN</t>
  </si>
  <si>
    <t>00109487587</t>
  </si>
  <si>
    <t>QUIRCIDA DAMARE</t>
  </si>
  <si>
    <t>MATOS FELIZ</t>
  </si>
  <si>
    <t>00105360622</t>
  </si>
  <si>
    <t>CASTRO TAVERAS</t>
  </si>
  <si>
    <t>06900075257</t>
  </si>
  <si>
    <t>ALFREDO</t>
  </si>
  <si>
    <t>MEDINA MONTERO</t>
  </si>
  <si>
    <t>00104722244</t>
  </si>
  <si>
    <t>YAJAIRA DE LOS MILAGROS</t>
  </si>
  <si>
    <t>MERCEDES CASTILLO</t>
  </si>
  <si>
    <t>NINOSKA DAYANERYS</t>
  </si>
  <si>
    <t>CESPEDES CESPEDES</t>
  </si>
  <si>
    <t>GLENNYS ALTAGRACIA</t>
  </si>
  <si>
    <t>ALMONTE GOMEZ</t>
  </si>
  <si>
    <t>00111664504</t>
  </si>
  <si>
    <t>WENDOLYNE MARIA</t>
  </si>
  <si>
    <t>CASTILLO MEDRANO</t>
  </si>
  <si>
    <t>00118607787</t>
  </si>
  <si>
    <t>HENRY ASDRUVAL</t>
  </si>
  <si>
    <t>PUJOLS RAMIREZ</t>
  </si>
  <si>
    <t>ANEURIS</t>
  </si>
  <si>
    <t>RAMON VALDEZ</t>
  </si>
  <si>
    <t>04700008099</t>
  </si>
  <si>
    <t>WILTON</t>
  </si>
  <si>
    <t>OGANDO HERRERA</t>
  </si>
  <si>
    <t>00117995563</t>
  </si>
  <si>
    <t>SAREDA GEORGINA</t>
  </si>
  <si>
    <t>PEREYRA ARIAS</t>
  </si>
  <si>
    <t>ROSELI MARIBEL</t>
  </si>
  <si>
    <t>GONZALEZ PAULINO</t>
  </si>
  <si>
    <t>00111199790</t>
  </si>
  <si>
    <t>VANESSA ISABEL</t>
  </si>
  <si>
    <t>BATISTA</t>
  </si>
  <si>
    <t>00116371790</t>
  </si>
  <si>
    <t>RUBEN DARIO</t>
  </si>
  <si>
    <t>HICIANO BOLQUEZ</t>
  </si>
  <si>
    <t>03300291931</t>
  </si>
  <si>
    <t>FLOR TOMAS</t>
  </si>
  <si>
    <t>ROMANO TEJADA</t>
  </si>
  <si>
    <t>01300465802</t>
  </si>
  <si>
    <t>JOSE TOMAS</t>
  </si>
  <si>
    <t>HEREDIA VOLQUEZ</t>
  </si>
  <si>
    <t>FIOR D´ ALIZA</t>
  </si>
  <si>
    <t>PAULINO POLANCO</t>
  </si>
  <si>
    <t>07800138336</t>
  </si>
  <si>
    <t>TOMAS MICHAEL</t>
  </si>
  <si>
    <t>ROMANO NUÑEZ</t>
  </si>
  <si>
    <t>ARIN ISAAC</t>
  </si>
  <si>
    <t>BAEZ JOSEPH</t>
  </si>
  <si>
    <t>00100482132</t>
  </si>
  <si>
    <t>KAREN</t>
  </si>
  <si>
    <t>JOSE CARRASCO</t>
  </si>
  <si>
    <t>00107340614</t>
  </si>
  <si>
    <t>REBECA ESPERANZA</t>
  </si>
  <si>
    <t>ORTEA ABAD</t>
  </si>
  <si>
    <t>LUIS ANGEL</t>
  </si>
  <si>
    <t>REYES RODRIGUEZ</t>
  </si>
  <si>
    <t>EGLIS YODENNIS</t>
  </si>
  <si>
    <t>MORETA BATISTA</t>
  </si>
  <si>
    <t>MILAGROS</t>
  </si>
  <si>
    <t>RAMIREZ REYNOSO</t>
  </si>
  <si>
    <t>00111206140</t>
  </si>
  <si>
    <t>JOHANNA FRANCHESCA</t>
  </si>
  <si>
    <t>MEDINA PEREZ</t>
  </si>
  <si>
    <t>00116255555</t>
  </si>
  <si>
    <t>LUISA KARINA</t>
  </si>
  <si>
    <t>RAMIREZ CUEVAS</t>
  </si>
  <si>
    <t>00114696933</t>
  </si>
  <si>
    <t>CRISTOBAL FELIX</t>
  </si>
  <si>
    <t>SUERO SANCHEZ</t>
  </si>
  <si>
    <t>00105094569</t>
  </si>
  <si>
    <t>WINSTON</t>
  </si>
  <si>
    <t>GOMEZ RIVERA</t>
  </si>
  <si>
    <t>02600897033</t>
  </si>
  <si>
    <t>ERNESTO ANDRES</t>
  </si>
  <si>
    <t>MELI SORIANO</t>
  </si>
  <si>
    <t>YEISON</t>
  </si>
  <si>
    <t>MELLA GOMEZ</t>
  </si>
  <si>
    <t>00115592289</t>
  </si>
  <si>
    <t>JOSE MANUEL</t>
  </si>
  <si>
    <t>BAEZ REINOSO</t>
  </si>
  <si>
    <t>JUAN SBRAYLIN</t>
  </si>
  <si>
    <t>DIAZ VARGAS</t>
  </si>
  <si>
    <t>SHIRLEY DARIANNY</t>
  </si>
  <si>
    <t>DOMINGUEZ DE LEON</t>
  </si>
  <si>
    <t>08700197737</t>
  </si>
  <si>
    <t>JOEL EMILIO</t>
  </si>
  <si>
    <t>LIRIANO FELIZ</t>
  </si>
  <si>
    <t>00111561536</t>
  </si>
  <si>
    <t>FELIX RAFAEL</t>
  </si>
  <si>
    <t>DISLA QUEZADA</t>
  </si>
  <si>
    <t>03900132667</t>
  </si>
  <si>
    <t>MARIA ANTONIA</t>
  </si>
  <si>
    <t>MONTES DE OCA MARTINEZ</t>
  </si>
  <si>
    <t>JEAN CARLOS MANUEL</t>
  </si>
  <si>
    <t>ESPINAL NUÑEZ</t>
  </si>
  <si>
    <t>01200234415</t>
  </si>
  <si>
    <t>FANNY MARITZA</t>
  </si>
  <si>
    <t>SANTANA CIPRIAN</t>
  </si>
  <si>
    <t>07500094839</t>
  </si>
  <si>
    <t>NATHANAEL</t>
  </si>
  <si>
    <t>AQUINO SANTANA</t>
  </si>
  <si>
    <t>YANEIRY ANTONIA</t>
  </si>
  <si>
    <t>RODRIGUEZ MACARIO</t>
  </si>
  <si>
    <t>JULIO</t>
  </si>
  <si>
    <t>DE LOS SANTOS DE LA CRUZ</t>
  </si>
  <si>
    <t>01000084531</t>
  </si>
  <si>
    <t>YAJAIRA</t>
  </si>
  <si>
    <t>ENCARNACION TERRERO</t>
  </si>
  <si>
    <t>01100425659</t>
  </si>
  <si>
    <t>MAYELIN</t>
  </si>
  <si>
    <t>SURIEL VARGAS</t>
  </si>
  <si>
    <t>LEONICIA</t>
  </si>
  <si>
    <t>SANTANA LAZARO</t>
  </si>
  <si>
    <t>00118501014</t>
  </si>
  <si>
    <t>YIRA TRINIDAD</t>
  </si>
  <si>
    <t>PEREZ PAREDES</t>
  </si>
  <si>
    <t>00105508642</t>
  </si>
  <si>
    <t>HILARIA</t>
  </si>
  <si>
    <t>MONTERO MONTERO</t>
  </si>
  <si>
    <t>YISEL KAROLINA</t>
  </si>
  <si>
    <t>PUJOLS MEJIA</t>
  </si>
  <si>
    <t>02000138301</t>
  </si>
  <si>
    <t>JOSE LUIS</t>
  </si>
  <si>
    <t>NOVAS MEDRANO</t>
  </si>
  <si>
    <t>00103150231</t>
  </si>
  <si>
    <t>LEONEL ANTONIO</t>
  </si>
  <si>
    <t>RAMIREZ DIAZ</t>
  </si>
  <si>
    <t>00800338733</t>
  </si>
  <si>
    <t>WAYLA NAZARET</t>
  </si>
  <si>
    <t>HENRIQUEZ MONTERO</t>
  </si>
  <si>
    <t>00100907617</t>
  </si>
  <si>
    <t>CARMEN MILANDINA</t>
  </si>
  <si>
    <t>VALENZUELA CASTILLO</t>
  </si>
  <si>
    <t>MILAGROS VIRTUDES</t>
  </si>
  <si>
    <t>MARTINEZ DE LA ROSA</t>
  </si>
  <si>
    <t>00117848408</t>
  </si>
  <si>
    <t>ESEQUIEL</t>
  </si>
  <si>
    <t>RAMIREZ EVANGELISTA</t>
  </si>
  <si>
    <t>MARTHA BETHANIA</t>
  </si>
  <si>
    <t>ORTEGA RAMOS</t>
  </si>
  <si>
    <t>JOSE GREGORIO</t>
  </si>
  <si>
    <t>DOMINGUEZ MORILLO</t>
  </si>
  <si>
    <t>KEVIN ALBERTO</t>
  </si>
  <si>
    <t>CARVAJAL LIRANZO</t>
  </si>
  <si>
    <t>00117340349</t>
  </si>
  <si>
    <t>KATIUSCA YANIBEL</t>
  </si>
  <si>
    <t>DELGADO QUIROZ</t>
  </si>
  <si>
    <t>00200062297</t>
  </si>
  <si>
    <t>PLACIDA</t>
  </si>
  <si>
    <t>ENCARNACION SANCHEZ</t>
  </si>
  <si>
    <t>AMELVY</t>
  </si>
  <si>
    <t>MORILLO LIRANZO</t>
  </si>
  <si>
    <t>00113809701</t>
  </si>
  <si>
    <t>DILEISY</t>
  </si>
  <si>
    <t>SENCION HERRA</t>
  </si>
  <si>
    <t>00109381038</t>
  </si>
  <si>
    <t>SUGEY</t>
  </si>
  <si>
    <t>MINAYA</t>
  </si>
  <si>
    <t>FRANCISCO</t>
  </si>
  <si>
    <t>PAREDES ROSARIO</t>
  </si>
  <si>
    <t>00117403089</t>
  </si>
  <si>
    <t>VICTOR CAAMAÑO</t>
  </si>
  <si>
    <t>SIERRA DIAZ</t>
  </si>
  <si>
    <t>CARMEN ATILA</t>
  </si>
  <si>
    <t>BATISTA FERRERAS</t>
  </si>
  <si>
    <t>00113190094</t>
  </si>
  <si>
    <t>ROSA ELENA</t>
  </si>
  <si>
    <t>RUIZ DE LA ROSA</t>
  </si>
  <si>
    <t>00117755710</t>
  </si>
  <si>
    <t>BERTA</t>
  </si>
  <si>
    <t>MICHEL EMITA</t>
  </si>
  <si>
    <t>JESSE OREL</t>
  </si>
  <si>
    <t>MARIANO ARTILES</t>
  </si>
  <si>
    <t>03900048343</t>
  </si>
  <si>
    <t>FLORITA JOSEFINA</t>
  </si>
  <si>
    <t>LOPEZ CASTILLO</t>
  </si>
  <si>
    <t>00114779101</t>
  </si>
  <si>
    <t>JENNY MARIA</t>
  </si>
  <si>
    <t>ADON MORILLO</t>
  </si>
  <si>
    <t>00104964259</t>
  </si>
  <si>
    <t>ALEYDI ZUNILDA</t>
  </si>
  <si>
    <t>NUÑEZ LUNA</t>
  </si>
  <si>
    <t>JOSE ANGEL</t>
  </si>
  <si>
    <t>ORTIZ BELTRE</t>
  </si>
  <si>
    <t>JEUDY DAMARIS</t>
  </si>
  <si>
    <t>ORTIZ MEDINA</t>
  </si>
  <si>
    <t>RACHELL MARY</t>
  </si>
  <si>
    <t>MARIÑE MELO</t>
  </si>
  <si>
    <t>00111091666</t>
  </si>
  <si>
    <t>ROSANNA MIOSOTY</t>
  </si>
  <si>
    <t>MESA</t>
  </si>
  <si>
    <t>DENIS JOSEFINA</t>
  </si>
  <si>
    <t>JUSTO DE SALA</t>
  </si>
  <si>
    <t>MIGUEL ESMIL</t>
  </si>
  <si>
    <t>BAUTISTA MARTINEZ</t>
  </si>
  <si>
    <t>00108276072</t>
  </si>
  <si>
    <t>JUNIOR</t>
  </si>
  <si>
    <t>MONTERO VELOZ</t>
  </si>
  <si>
    <t>MILAGROS SOLEDAD</t>
  </si>
  <si>
    <t>NOVAS HEREDIA</t>
  </si>
  <si>
    <t>RADHAMES ARIEL</t>
  </si>
  <si>
    <t>CASTILLO AQUINO</t>
  </si>
  <si>
    <t>00110334398</t>
  </si>
  <si>
    <t>BARRY JOSE</t>
  </si>
  <si>
    <t>AVILES</t>
  </si>
  <si>
    <t>LISSETTE YLEANA</t>
  </si>
  <si>
    <t>PAREDES MARTINEZ</t>
  </si>
  <si>
    <t>YOSAIRY</t>
  </si>
  <si>
    <t>SABINO PEREZ</t>
  </si>
  <si>
    <t>02300251853</t>
  </si>
  <si>
    <t>MATOS TRINIDAD</t>
  </si>
  <si>
    <t>KATTY CAROLINA</t>
  </si>
  <si>
    <t>DEL ROSARIO URBAEZ</t>
  </si>
  <si>
    <t>CAROLIN FRANCISCA</t>
  </si>
  <si>
    <t>QUEZADA PEÑA</t>
  </si>
  <si>
    <t>03800156311</t>
  </si>
  <si>
    <t>BREILYN ALEXANDER</t>
  </si>
  <si>
    <t>MOLINA BURGO</t>
  </si>
  <si>
    <t>LUIS MIGUEL</t>
  </si>
  <si>
    <t>CUEVAS DIAZ</t>
  </si>
  <si>
    <t>DIEGO</t>
  </si>
  <si>
    <t>ENCARNACION PEREZ</t>
  </si>
  <si>
    <t>SIRA</t>
  </si>
  <si>
    <t>AQUINO RAMON</t>
  </si>
  <si>
    <t>INDIANA</t>
  </si>
  <si>
    <t>FAMILIA DIAZ</t>
  </si>
  <si>
    <t>00118714229</t>
  </si>
  <si>
    <t>ROSA MARIA</t>
  </si>
  <si>
    <t>SANCHEZ MEJIA</t>
  </si>
  <si>
    <t>02000184933</t>
  </si>
  <si>
    <t>VALERIO</t>
  </si>
  <si>
    <t>CORREA REYES</t>
  </si>
  <si>
    <t>00119122745</t>
  </si>
  <si>
    <t>GILBERT</t>
  </si>
  <si>
    <t>LANTIGUA ENCARNACION</t>
  </si>
  <si>
    <t>JULIO CESAR</t>
  </si>
  <si>
    <t>MERCEDES MONTES DE OCA</t>
  </si>
  <si>
    <t>00111300885</t>
  </si>
  <si>
    <t>BONNY JENDRYS</t>
  </si>
  <si>
    <t>REYES PEREZ</t>
  </si>
  <si>
    <t>01100066628</t>
  </si>
  <si>
    <t>BELKIS</t>
  </si>
  <si>
    <t>ROJAS NUÑEZ</t>
  </si>
  <si>
    <t>00109450833</t>
  </si>
  <si>
    <t>DE LOS SANTOS DECENA</t>
  </si>
  <si>
    <t>ANA ANTONIA</t>
  </si>
  <si>
    <t>PINEDA ABAD</t>
  </si>
  <si>
    <t>ANGEL RAMON</t>
  </si>
  <si>
    <t>GARCIA SANTANA</t>
  </si>
  <si>
    <t>RAMON</t>
  </si>
  <si>
    <t>MATOS LOPEZ</t>
  </si>
  <si>
    <t>DOMINGA MIGUELINA</t>
  </si>
  <si>
    <t>FERRER DEL ROSARIO</t>
  </si>
  <si>
    <t>BETZAIDA CAROLINA</t>
  </si>
  <si>
    <t>CASTILLO CARVAJAL</t>
  </si>
  <si>
    <t>00116477258</t>
  </si>
  <si>
    <t>YESENIA</t>
  </si>
  <si>
    <t>PERALTA BONILLA</t>
  </si>
  <si>
    <t>00114236763</t>
  </si>
  <si>
    <t>EDULEMY JOAQUINA</t>
  </si>
  <si>
    <t>FRANCO MEDRANO</t>
  </si>
  <si>
    <t>ESTEPHANY DAHIANA</t>
  </si>
  <si>
    <t>VICENTE DIAZ</t>
  </si>
  <si>
    <t>ZENEYDA MARIA</t>
  </si>
  <si>
    <t>SERRANO ROJAS</t>
  </si>
  <si>
    <t>01100351590</t>
  </si>
  <si>
    <t>MARIANNI</t>
  </si>
  <si>
    <t>RAMIREZ VALDEZ</t>
  </si>
  <si>
    <t>00100511849</t>
  </si>
  <si>
    <t>YASMINA IVELISSE</t>
  </si>
  <si>
    <t>MEDINA BAEZ</t>
  </si>
  <si>
    <t>00109974584</t>
  </si>
  <si>
    <t>ANTHONY</t>
  </si>
  <si>
    <t>MONTERO BATISTA</t>
  </si>
  <si>
    <t>JUNIOR MANUEL</t>
  </si>
  <si>
    <t>BRENS CID</t>
  </si>
  <si>
    <t>02100069471</t>
  </si>
  <si>
    <t>CANDIDA</t>
  </si>
  <si>
    <t>FLORES</t>
  </si>
  <si>
    <t>ISVELIA TERESITA</t>
  </si>
  <si>
    <t>PAULUS DE JESUS</t>
  </si>
  <si>
    <t>00113130520</t>
  </si>
  <si>
    <t>LIDIA</t>
  </si>
  <si>
    <t>SUERO SUERO</t>
  </si>
  <si>
    <t>00108639436</t>
  </si>
  <si>
    <t>MARIANELA</t>
  </si>
  <si>
    <t>ALCANTARA SANCHEZ</t>
  </si>
  <si>
    <t>RAFAEL REYES</t>
  </si>
  <si>
    <t>CUEVAS LABOR</t>
  </si>
  <si>
    <t>JEANNEY</t>
  </si>
  <si>
    <t>PIÑA AQUINO</t>
  </si>
  <si>
    <t>WELLINGTON</t>
  </si>
  <si>
    <t>CRUZ FRIAS</t>
  </si>
  <si>
    <t>00116320565</t>
  </si>
  <si>
    <t>ROSSANNA</t>
  </si>
  <si>
    <t>RAMIREZ SANCHEZ</t>
  </si>
  <si>
    <t>GINA RAFAELA</t>
  </si>
  <si>
    <t>LENDOR</t>
  </si>
  <si>
    <t>00400189593</t>
  </si>
  <si>
    <t>ROSANNA</t>
  </si>
  <si>
    <t>PAULINO CRUZ</t>
  </si>
  <si>
    <t>LENIN MANUEL</t>
  </si>
  <si>
    <t>TRINIDAD YVAN</t>
  </si>
  <si>
    <t>NICOLE MARIA</t>
  </si>
  <si>
    <t>TAPIA QUEZADA</t>
  </si>
  <si>
    <t>MARISOL</t>
  </si>
  <si>
    <t>MARIÑEZ RODRIGUEZ</t>
  </si>
  <si>
    <t>ALIRIO</t>
  </si>
  <si>
    <t>REYES REYES</t>
  </si>
  <si>
    <t>00107420697</t>
  </si>
  <si>
    <t>JANIBELL</t>
  </si>
  <si>
    <t>PORTORREAL ESTEPAN</t>
  </si>
  <si>
    <t>DARYELIN CRISTINA</t>
  </si>
  <si>
    <t>CEPIN OTAÑO</t>
  </si>
  <si>
    <t>SHERLIN CRILINETT</t>
  </si>
  <si>
    <t>CHEVALIER GARCIA</t>
  </si>
  <si>
    <t>ISLANIA</t>
  </si>
  <si>
    <t>PASCUAL HIDALGO</t>
  </si>
  <si>
    <t>ROSANNA MARIA</t>
  </si>
  <si>
    <t>MERAN RODRIGUEZ</t>
  </si>
  <si>
    <t>ARILENY</t>
  </si>
  <si>
    <t>ENCARNACION MONTERO</t>
  </si>
  <si>
    <t>EURY YARISSA</t>
  </si>
  <si>
    <t>ALMANZAR MENDOZA</t>
  </si>
  <si>
    <t>09900036626</t>
  </si>
  <si>
    <t>SANTIAGO</t>
  </si>
  <si>
    <t>SANTANA</t>
  </si>
  <si>
    <t>00117154500</t>
  </si>
  <si>
    <t>MIGUEL</t>
  </si>
  <si>
    <t>FORTUNA MARTINEZ</t>
  </si>
  <si>
    <t>00115447369</t>
  </si>
  <si>
    <t>MIRLANDY</t>
  </si>
  <si>
    <t>VICENTE MONTERO</t>
  </si>
  <si>
    <t>05800227604</t>
  </si>
  <si>
    <t>MAURO JUNIOR</t>
  </si>
  <si>
    <t>DE CAPITANI FERNANDEZ</t>
  </si>
  <si>
    <t>00107561839</t>
  </si>
  <si>
    <t>ELISIA</t>
  </si>
  <si>
    <t>ENCARNACION RODRIGUEZ</t>
  </si>
  <si>
    <t>KELVIN JOSE</t>
  </si>
  <si>
    <t>VALDEZ HUNGRIA</t>
  </si>
  <si>
    <t>00102956448</t>
  </si>
  <si>
    <t>FATIMA</t>
  </si>
  <si>
    <t>DE LEON LORENZO</t>
  </si>
  <si>
    <t>MAIRENI</t>
  </si>
  <si>
    <t>DIAZ DOTEL</t>
  </si>
  <si>
    <t>02800843159</t>
  </si>
  <si>
    <t>EVELYN</t>
  </si>
  <si>
    <t>PAULA BONIFACIO</t>
  </si>
  <si>
    <t>02000150579</t>
  </si>
  <si>
    <t>YENY</t>
  </si>
  <si>
    <t>PINALES PAYANO</t>
  </si>
  <si>
    <t>02100082532</t>
  </si>
  <si>
    <t>YUMARIS REINILDA</t>
  </si>
  <si>
    <t>CUEVAS SOLIS</t>
  </si>
  <si>
    <t>00117266197</t>
  </si>
  <si>
    <t>KARIN ALICIA</t>
  </si>
  <si>
    <t>REYES LIZARDO</t>
  </si>
  <si>
    <t>ROSA INES</t>
  </si>
  <si>
    <t>DISLA VALERIO</t>
  </si>
  <si>
    <t>ERY FRANCISCA</t>
  </si>
  <si>
    <t>REYES CAPELLAN</t>
  </si>
  <si>
    <t>02100090683</t>
  </si>
  <si>
    <t>SIXTA</t>
  </si>
  <si>
    <t>ROSARIO MARIANO</t>
  </si>
  <si>
    <t>ENYERTH</t>
  </si>
  <si>
    <t>RODRIGUEZ GARCIA</t>
  </si>
  <si>
    <t>MAIRA MARIA</t>
  </si>
  <si>
    <t>DURAN GARCIA</t>
  </si>
  <si>
    <t>ZUNILDA</t>
  </si>
  <si>
    <t>RAFAEL AMPARO</t>
  </si>
  <si>
    <t>02000166559</t>
  </si>
  <si>
    <t>OLINDA</t>
  </si>
  <si>
    <t>DE LOS SANTOS</t>
  </si>
  <si>
    <t>00111435020</t>
  </si>
  <si>
    <t>GENESIS ABIGAIL</t>
  </si>
  <si>
    <t>GALVAN DIAZ</t>
  </si>
  <si>
    <t>MILDRED</t>
  </si>
  <si>
    <t>JIMENEZ ROMERO</t>
  </si>
  <si>
    <t>PAMELA LISBETH</t>
  </si>
  <si>
    <t>DE LA ROSA REYNOSO</t>
  </si>
  <si>
    <t>01100343381</t>
  </si>
  <si>
    <t>ENGELS MIGUEL</t>
  </si>
  <si>
    <t>AMPARO BURGOS</t>
  </si>
  <si>
    <t>ARLENI MARIEL</t>
  </si>
  <si>
    <t>HERNANDEZ GUANTE</t>
  </si>
  <si>
    <t>00108482969</t>
  </si>
  <si>
    <t>JUAN DE DIOS</t>
  </si>
  <si>
    <t>SALAS MIESES</t>
  </si>
  <si>
    <t>00102550662</t>
  </si>
  <si>
    <t>YELIZAT MASSIEL</t>
  </si>
  <si>
    <t>PEREZ MERCEDES</t>
  </si>
  <si>
    <t>00108083858</t>
  </si>
  <si>
    <t>GABRIELA</t>
  </si>
  <si>
    <t>TORIBIO ROSADO</t>
  </si>
  <si>
    <t>JOAN FENIX</t>
  </si>
  <si>
    <t>OLIVERO MELO</t>
  </si>
  <si>
    <t>04900702772</t>
  </si>
  <si>
    <t>FELIX ALBERTO JUNIOR</t>
  </si>
  <si>
    <t>FERNANDEZ SUERO</t>
  </si>
  <si>
    <t>00115312449</t>
  </si>
  <si>
    <t>SAMANTA SMITH</t>
  </si>
  <si>
    <t>MALDONADO PEREZ</t>
  </si>
  <si>
    <t>00110451580</t>
  </si>
  <si>
    <t>ALBERTO JOSE</t>
  </si>
  <si>
    <t>ENCARNACION PEGUERO</t>
  </si>
  <si>
    <t>02700048891</t>
  </si>
  <si>
    <t>YULY</t>
  </si>
  <si>
    <t>BELTRE CARO</t>
  </si>
  <si>
    <t>02300937584</t>
  </si>
  <si>
    <t>MILADYS XIOMARA</t>
  </si>
  <si>
    <t>RAMIREZ MATEO</t>
  </si>
  <si>
    <t>KIARA WIROBY</t>
  </si>
  <si>
    <t>RAMIREZ MARTINEZ</t>
  </si>
  <si>
    <t>ELANNIS YOHANNA</t>
  </si>
  <si>
    <t>NOVAS ROMAN</t>
  </si>
  <si>
    <t>MARCOS JOSE</t>
  </si>
  <si>
    <t>PEÑA PADILLA</t>
  </si>
  <si>
    <t>00112486618</t>
  </si>
  <si>
    <t>CARLOS JOEL</t>
  </si>
  <si>
    <t>SANTOS FELIX</t>
  </si>
  <si>
    <t>YBELISE</t>
  </si>
  <si>
    <t>FELIZ PEREZ</t>
  </si>
  <si>
    <t>00116357245</t>
  </si>
  <si>
    <t>ALINA ROSSINA</t>
  </si>
  <si>
    <t>VELOZ RAMON</t>
  </si>
  <si>
    <t>00117166793</t>
  </si>
  <si>
    <t>ADELIN MANUEL</t>
  </si>
  <si>
    <t>GARCIA ALCANTARA</t>
  </si>
  <si>
    <t>JOHAN FRANCISCO</t>
  </si>
  <si>
    <t>ARIAS FAJARDO</t>
  </si>
  <si>
    <t>00100650613</t>
  </si>
  <si>
    <t>FELICIANO</t>
  </si>
  <si>
    <t>VALDEZ DE LOS SANTOS</t>
  </si>
  <si>
    <t>CYNTHIA CLARISOL</t>
  </si>
  <si>
    <t>ROMERO MANCEBO</t>
  </si>
  <si>
    <t>MARIA MAGDALENA</t>
  </si>
  <si>
    <t>FRENEL MORA</t>
  </si>
  <si>
    <t>VALENTINA</t>
  </si>
  <si>
    <t>CORREA AMPARO</t>
  </si>
  <si>
    <t>FLERIDA</t>
  </si>
  <si>
    <t>SANCHEZ MARTE</t>
  </si>
  <si>
    <t>MARLYN ANTONIA</t>
  </si>
  <si>
    <t>ROSARIO DIAZ</t>
  </si>
  <si>
    <t>01800500413</t>
  </si>
  <si>
    <t>YENNY ALTAGRACIA</t>
  </si>
  <si>
    <t>HERNANDEZ MARIA</t>
  </si>
  <si>
    <t>00117850081</t>
  </si>
  <si>
    <t>ROSA</t>
  </si>
  <si>
    <t>JIMENEZ SANCHEZ</t>
  </si>
  <si>
    <t>00117328419</t>
  </si>
  <si>
    <t>CARLOS ALFREDO</t>
  </si>
  <si>
    <t>MARTI FERNANDEZ</t>
  </si>
  <si>
    <t>AYARIDI</t>
  </si>
  <si>
    <t>PAULA HIDALGO</t>
  </si>
  <si>
    <t>JIMENEZ MARTINEZ</t>
  </si>
  <si>
    <t>FRANDY TOMAS</t>
  </si>
  <si>
    <t>BENERITA</t>
  </si>
  <si>
    <t>LUISANNI CRISTINA</t>
  </si>
  <si>
    <t>NUÑEZ GOMEZ</t>
  </si>
  <si>
    <t>KELVIN ALEXIS</t>
  </si>
  <si>
    <t>MARIA ESPINOSA</t>
  </si>
  <si>
    <t>00113003271</t>
  </si>
  <si>
    <t>PAMELA</t>
  </si>
  <si>
    <t>SIERRA</t>
  </si>
  <si>
    <t>SANTA EDUVIGES</t>
  </si>
  <si>
    <t>TAVERAS</t>
  </si>
  <si>
    <t>EMIL EDUARDO</t>
  </si>
  <si>
    <t>GUILAMO PICHARDO</t>
  </si>
  <si>
    <t>09500194304</t>
  </si>
  <si>
    <t>YANIRIS ESTEFANY</t>
  </si>
  <si>
    <t>PIÑA RINCON</t>
  </si>
  <si>
    <t>02000144838</t>
  </si>
  <si>
    <t>JOSE GUARINO</t>
  </si>
  <si>
    <t>CONTRERAS MORA</t>
  </si>
  <si>
    <t>YSRAEL</t>
  </si>
  <si>
    <t>VANDERHORST LUIS</t>
  </si>
  <si>
    <t>ESTEBANIA</t>
  </si>
  <si>
    <t>CHIVILLI CHALAS</t>
  </si>
  <si>
    <t>02000156956</t>
  </si>
  <si>
    <t>ELIEZER</t>
  </si>
  <si>
    <t>FIGUEREO CASTRO</t>
  </si>
  <si>
    <t>00118992445</t>
  </si>
  <si>
    <t>GLENYS JOSEFINA</t>
  </si>
  <si>
    <t>FLORENCIO PEREYRA</t>
  </si>
  <si>
    <t>00113768360</t>
  </si>
  <si>
    <t>KEYSERLING</t>
  </si>
  <si>
    <t>FELIZ CESPEDES</t>
  </si>
  <si>
    <t>07500082263</t>
  </si>
  <si>
    <t>JOSE ERNESTO</t>
  </si>
  <si>
    <t>FEBLES FELICIANO</t>
  </si>
  <si>
    <t>JUANA IVELISSE</t>
  </si>
  <si>
    <t>DE LOS SANTOS NIN</t>
  </si>
  <si>
    <t>00108090317</t>
  </si>
  <si>
    <t>MARIA MARGARITA</t>
  </si>
  <si>
    <t>RAMIREZ PEREZ</t>
  </si>
  <si>
    <t>ARTILES MIESES</t>
  </si>
  <si>
    <t>00109920579</t>
  </si>
  <si>
    <t>EXODIA</t>
  </si>
  <si>
    <t>CABRERA GONZALEZ</t>
  </si>
  <si>
    <t>ALBA</t>
  </si>
  <si>
    <t>MENDEZ PEREZ</t>
  </si>
  <si>
    <t>00116304528</t>
  </si>
  <si>
    <t>SAUL</t>
  </si>
  <si>
    <t>MONTERO</t>
  </si>
  <si>
    <t>01600049918</t>
  </si>
  <si>
    <t>GENESSI JUNARY</t>
  </si>
  <si>
    <t>SOTO MONTERO</t>
  </si>
  <si>
    <t>MORAIMA GLORIBEL</t>
  </si>
  <si>
    <t>PEGUERO TEJEDA</t>
  </si>
  <si>
    <t>00114761166</t>
  </si>
  <si>
    <t>DARYS GINETTE</t>
  </si>
  <si>
    <t>PEREZ VALERA</t>
  </si>
  <si>
    <t>00100424753</t>
  </si>
  <si>
    <t>YOSELIN</t>
  </si>
  <si>
    <t>LUCIANO ADON</t>
  </si>
  <si>
    <t>RUTH ESTHER</t>
  </si>
  <si>
    <t>BATISTA FLORES</t>
  </si>
  <si>
    <t>JOSEFA ALICIA</t>
  </si>
  <si>
    <t>FLORIAN RODRIGUEZ</t>
  </si>
  <si>
    <t>00111121471</t>
  </si>
  <si>
    <t>PETERSON</t>
  </si>
  <si>
    <t>MELLA PEÑA</t>
  </si>
  <si>
    <t>MARIANNY CASTIDIA</t>
  </si>
  <si>
    <t>SEGURA MENDEZ</t>
  </si>
  <si>
    <t>00100920982</t>
  </si>
  <si>
    <t>WENDY</t>
  </si>
  <si>
    <t>ENCARNACION GOMEZ</t>
  </si>
  <si>
    <t>00116633850</t>
  </si>
  <si>
    <t>NAIROBI</t>
  </si>
  <si>
    <t>ALBERTO REYNOSO</t>
  </si>
  <si>
    <t>LUCY COINAN</t>
  </si>
  <si>
    <t>REYES CAAMAÑO</t>
  </si>
  <si>
    <t>03701140414</t>
  </si>
  <si>
    <t>MOISES</t>
  </si>
  <si>
    <t>POLANCO PEREZ</t>
  </si>
  <si>
    <t>00110679073</t>
  </si>
  <si>
    <t>ROSMERLIN</t>
  </si>
  <si>
    <t>PEREZ JIMENEZ</t>
  </si>
  <si>
    <t>00113263297</t>
  </si>
  <si>
    <t>PERLINA ESMERALDA</t>
  </si>
  <si>
    <t>CASTRO GUZMAN</t>
  </si>
  <si>
    <t>BELISARIO</t>
  </si>
  <si>
    <t>OVIEDO FELIZ</t>
  </si>
  <si>
    <t>00100231802</t>
  </si>
  <si>
    <t>PEDRO MANUEL</t>
  </si>
  <si>
    <t>ROSARIO ARNO</t>
  </si>
  <si>
    <t>DIONELY</t>
  </si>
  <si>
    <t>SORIANO</t>
  </si>
  <si>
    <t>BEATO EMMANUEL</t>
  </si>
  <si>
    <t>CASTILLO RODRIGUEZ</t>
  </si>
  <si>
    <t>02700274612</t>
  </si>
  <si>
    <t>JUAN ALBERTO</t>
  </si>
  <si>
    <t>ALMANZAR VALERIO</t>
  </si>
  <si>
    <t>GINA PATRICIA</t>
  </si>
  <si>
    <t>INFANTE QUIÑONES</t>
  </si>
  <si>
    <t>00114207871</t>
  </si>
  <si>
    <t>VICMARY GUADALUPE</t>
  </si>
  <si>
    <t>PIMENTEL SOTO</t>
  </si>
  <si>
    <t>00201594413</t>
  </si>
  <si>
    <t>MARILEIDY</t>
  </si>
  <si>
    <t>TAVERAS CABRERA</t>
  </si>
  <si>
    <t>00112933924</t>
  </si>
  <si>
    <t>RAMSES ISAIAS</t>
  </si>
  <si>
    <t>GARCIA DE LOS SANTOS</t>
  </si>
  <si>
    <t>07800081288</t>
  </si>
  <si>
    <t>TORIBIO GUZMAN</t>
  </si>
  <si>
    <t>00116869520</t>
  </si>
  <si>
    <t>ARLIN ELIZABETH</t>
  </si>
  <si>
    <t>GONZALEZ QUEZADA</t>
  </si>
  <si>
    <t>GLENYS DE LOS MILAGROS</t>
  </si>
  <si>
    <t>JIMENEZ BELTRAN</t>
  </si>
  <si>
    <t>00117644658</t>
  </si>
  <si>
    <t>ANGELINE</t>
  </si>
  <si>
    <t>SOLONEL TRINIDAD</t>
  </si>
  <si>
    <t>ANYELA</t>
  </si>
  <si>
    <t>DEL CARMEN SUERO</t>
  </si>
  <si>
    <t>GHELEN</t>
  </si>
  <si>
    <t>BRITO MOTA</t>
  </si>
  <si>
    <t>LETICIA</t>
  </si>
  <si>
    <t>PICHARDO LORA</t>
  </si>
  <si>
    <t>00116645052</t>
  </si>
  <si>
    <t>ISABEL PATRICIA</t>
  </si>
  <si>
    <t>MENDEZ ROJAS</t>
  </si>
  <si>
    <t>00119295616</t>
  </si>
  <si>
    <t>PEREZ PEREZ</t>
  </si>
  <si>
    <t>FIOR D´ALIZA</t>
  </si>
  <si>
    <t>MEJIA SANCHEZ</t>
  </si>
  <si>
    <t>ADA PAOLA</t>
  </si>
  <si>
    <t>GONZALEZ ANTUNA</t>
  </si>
  <si>
    <t>JUAN GABRIEL</t>
  </si>
  <si>
    <t>VILORIA UBIERA</t>
  </si>
  <si>
    <t>07600163922</t>
  </si>
  <si>
    <t>JARIBEL</t>
  </si>
  <si>
    <t>DE LA ROSA ROA</t>
  </si>
  <si>
    <t>00113055149</t>
  </si>
  <si>
    <t>KENNIDA KARILUZ</t>
  </si>
  <si>
    <t>SANTOS CASTILLO</t>
  </si>
  <si>
    <t>OGANDO MONTERO</t>
  </si>
  <si>
    <t>00103218343</t>
  </si>
  <si>
    <t>ROSMERY</t>
  </si>
  <si>
    <t>LOPEZ ESPIRITU</t>
  </si>
  <si>
    <t>00112023395</t>
  </si>
  <si>
    <t>YDALISA OMEGA</t>
  </si>
  <si>
    <t>TEJADA LUCIANO</t>
  </si>
  <si>
    <t>CRUZ MARIA</t>
  </si>
  <si>
    <t>ALMONTE SANCHEZ DE MERCEDES</t>
  </si>
  <si>
    <t>DIANABIAS TERESA</t>
  </si>
  <si>
    <t>DE LA CRUZ CASTRO</t>
  </si>
  <si>
    <t>LINA</t>
  </si>
  <si>
    <t>DE LA CRUZ</t>
  </si>
  <si>
    <t>04900902547</t>
  </si>
  <si>
    <t>FATHIA</t>
  </si>
  <si>
    <t>GUILLEN CALDERON</t>
  </si>
  <si>
    <t>CESAR BIENVENIDO</t>
  </si>
  <si>
    <t>VARGAS INOA</t>
  </si>
  <si>
    <t>00105448740</t>
  </si>
  <si>
    <t>SNAIBER EMMANUEL</t>
  </si>
  <si>
    <t>ADAMES DURAN</t>
  </si>
  <si>
    <t>00115663809</t>
  </si>
  <si>
    <t>JOSE ANTONIO</t>
  </si>
  <si>
    <t>RIVERA</t>
  </si>
  <si>
    <t>MARIA FERNANDA</t>
  </si>
  <si>
    <t>DE PEÑA KELLY</t>
  </si>
  <si>
    <t>00116705450</t>
  </si>
  <si>
    <t>EMILIA ELENA</t>
  </si>
  <si>
    <t>HERNANDEZ</t>
  </si>
  <si>
    <t>05800152620</t>
  </si>
  <si>
    <t>JESUS</t>
  </si>
  <si>
    <t>DE LA ROSA MARTES</t>
  </si>
  <si>
    <t>MIYOVI MANUEL</t>
  </si>
  <si>
    <t>CASTRO ZORRILLA</t>
  </si>
  <si>
    <t>00106943822</t>
  </si>
  <si>
    <t>ANGELA MARIA</t>
  </si>
  <si>
    <t>GARCIA FERNANDEZ</t>
  </si>
  <si>
    <t>MARCIA DEYANIRA</t>
  </si>
  <si>
    <t>DOMINGUEZ PEGUERO</t>
  </si>
  <si>
    <t>YUBANI</t>
  </si>
  <si>
    <t>BALBUENA BALBUENA</t>
  </si>
  <si>
    <t>DOMINGA</t>
  </si>
  <si>
    <t>MENA MOTA</t>
  </si>
  <si>
    <t>YARIBE MAYRELI</t>
  </si>
  <si>
    <t>ESTRELLA MUÑOZ</t>
  </si>
  <si>
    <t>MELANIA</t>
  </si>
  <si>
    <t>MONTERO MENDEZ</t>
  </si>
  <si>
    <t>01201203724</t>
  </si>
  <si>
    <t>EMELINDA</t>
  </si>
  <si>
    <t>ROMERO BELLO</t>
  </si>
  <si>
    <t>YASKARA ANITSIRA</t>
  </si>
  <si>
    <t>COTTO BRITO</t>
  </si>
  <si>
    <t>00111209615</t>
  </si>
  <si>
    <t>JESSICA MABEL</t>
  </si>
  <si>
    <t>CEBALLOS MARTINEZ</t>
  </si>
  <si>
    <t>TANAY CAROLINA</t>
  </si>
  <si>
    <t>MORILLO DE CASTILLO</t>
  </si>
  <si>
    <t>ESELANIA</t>
  </si>
  <si>
    <t>ZABALA RODRIGUEZ</t>
  </si>
  <si>
    <t>02301357246</t>
  </si>
  <si>
    <t>URBAEZ ROSARIO</t>
  </si>
  <si>
    <t>00113963433</t>
  </si>
  <si>
    <t>RICARDA</t>
  </si>
  <si>
    <t>ROSARIO OBRIL</t>
  </si>
  <si>
    <t>01600120107</t>
  </si>
  <si>
    <t>SANDY WILFRIDO</t>
  </si>
  <si>
    <t>ANTONIO ABREU</t>
  </si>
  <si>
    <t>00108027061</t>
  </si>
  <si>
    <t>JUAN DE JESUS</t>
  </si>
  <si>
    <t>YAMILCA MERCEDES</t>
  </si>
  <si>
    <t>LOMBERT ALVAREZ</t>
  </si>
  <si>
    <t>ARIAS RUDECINDO</t>
  </si>
  <si>
    <t>ORLANDO</t>
  </si>
  <si>
    <t>SUERO GERMAN</t>
  </si>
  <si>
    <t>ROSSELYN ESTHER</t>
  </si>
  <si>
    <t>ALCANTARA ARIAS</t>
  </si>
  <si>
    <t>IDELSY</t>
  </si>
  <si>
    <t>DECENA MEDINA</t>
  </si>
  <si>
    <t>HECTOR</t>
  </si>
  <si>
    <t>D´OLEO MORILLO</t>
  </si>
  <si>
    <t>00105595813</t>
  </si>
  <si>
    <t>YARITZA</t>
  </si>
  <si>
    <t>ROBLES DISLA</t>
  </si>
  <si>
    <t>01600004210</t>
  </si>
  <si>
    <t>TIRSON ANTONIO</t>
  </si>
  <si>
    <t>SURIEL RAMOS</t>
  </si>
  <si>
    <t>SANTANA FIGUEROA</t>
  </si>
  <si>
    <t>ANTONIA</t>
  </si>
  <si>
    <t>ROQUE MEJIA</t>
  </si>
  <si>
    <t>06100210886</t>
  </si>
  <si>
    <t>RICHARD ANTONIO</t>
  </si>
  <si>
    <t>CASTILLO</t>
  </si>
  <si>
    <t>ROSANNY</t>
  </si>
  <si>
    <t>FELIZ CUEVAS</t>
  </si>
  <si>
    <t>SANTO YSABEL</t>
  </si>
  <si>
    <t>VIZCAINO LAURENCIO</t>
  </si>
  <si>
    <t>04701163992</t>
  </si>
  <si>
    <t>BELKIS SENOVIA</t>
  </si>
  <si>
    <t>REYES DE LA CRUZ</t>
  </si>
  <si>
    <t>KIRLIANA</t>
  </si>
  <si>
    <t>FLORENTINO LOPEZ</t>
  </si>
  <si>
    <t>GIANNY ESTHER</t>
  </si>
  <si>
    <t>SANTANA FLORIMON</t>
  </si>
  <si>
    <t>RAISA ESTHER</t>
  </si>
  <si>
    <t>LEBRON MARIÑEZ</t>
  </si>
  <si>
    <t>00104116355</t>
  </si>
  <si>
    <t>HELEN YUNEISY</t>
  </si>
  <si>
    <t>LOPEZ NUÑEZ</t>
  </si>
  <si>
    <t>00104793989</t>
  </si>
  <si>
    <t>BARTOLO</t>
  </si>
  <si>
    <t>REYES JIMENEZ</t>
  </si>
  <si>
    <t>05600553514</t>
  </si>
  <si>
    <t>FERNANDO</t>
  </si>
  <si>
    <t>PIÑA VALDEZ</t>
  </si>
  <si>
    <t>00101367316</t>
  </si>
  <si>
    <t>LEIDI JACQUELINE</t>
  </si>
  <si>
    <t>ARACHE LOPEZ</t>
  </si>
  <si>
    <t>00106322738</t>
  </si>
  <si>
    <t>EMILIN</t>
  </si>
  <si>
    <t>DIAZ MATEO</t>
  </si>
  <si>
    <t>09000196114</t>
  </si>
  <si>
    <t>NUÑEZ CORDERO</t>
  </si>
  <si>
    <t>00105755243</t>
  </si>
  <si>
    <t>MINOVER</t>
  </si>
  <si>
    <t>GALVA DE LA ROSA</t>
  </si>
  <si>
    <t>00110865607</t>
  </si>
  <si>
    <t>JUAN ANDRES</t>
  </si>
  <si>
    <t>MENDEZ FELIZ</t>
  </si>
  <si>
    <t>JEAN CARLOS</t>
  </si>
  <si>
    <t>JIMENEZ RODRIGUEZ</t>
  </si>
  <si>
    <t>INDRID</t>
  </si>
  <si>
    <t>GOMEZ SOLIS</t>
  </si>
  <si>
    <t>JENIFFER</t>
  </si>
  <si>
    <t>DE LEON DIAZ</t>
  </si>
  <si>
    <t>00105713374</t>
  </si>
  <si>
    <t>CARLOS NOEL</t>
  </si>
  <si>
    <t>DE JESUS RAMIREZ</t>
  </si>
  <si>
    <t>ERIKA</t>
  </si>
  <si>
    <t>PINALEZ</t>
  </si>
  <si>
    <t>CATHERINE</t>
  </si>
  <si>
    <t>POLANCO MUNNIGH</t>
  </si>
  <si>
    <t>AURELIA</t>
  </si>
  <si>
    <t>MATEO CASTILLO</t>
  </si>
  <si>
    <t>GRETHER ESTHER</t>
  </si>
  <si>
    <t>PEREZ FERRERAS</t>
  </si>
  <si>
    <t>DALMA ISABEL</t>
  </si>
  <si>
    <t>SANTANA MEDINA</t>
  </si>
  <si>
    <t>00116296674</t>
  </si>
  <si>
    <t>RONNY MANUEL</t>
  </si>
  <si>
    <t>REYES PAULINO</t>
  </si>
  <si>
    <t>00105431894</t>
  </si>
  <si>
    <t>JELFRI RAFAEL</t>
  </si>
  <si>
    <t>ORTEGA MARTINEZ</t>
  </si>
  <si>
    <t>ODEIDA ELIZABETH DE</t>
  </si>
  <si>
    <t>LEON</t>
  </si>
  <si>
    <t>00116470378</t>
  </si>
  <si>
    <t>STEISY CHANNEL</t>
  </si>
  <si>
    <t>PONCE FERMIN</t>
  </si>
  <si>
    <t>00118364041</t>
  </si>
  <si>
    <t>MAIKE NICOLAS</t>
  </si>
  <si>
    <t>FAÑAS DE LOS SANTOS</t>
  </si>
  <si>
    <t>02600805788</t>
  </si>
  <si>
    <t>LEONCIA</t>
  </si>
  <si>
    <t>SORAYDA ISABEL</t>
  </si>
  <si>
    <t>VERAS LUNA</t>
  </si>
  <si>
    <t>00112789201</t>
  </si>
  <si>
    <t>HANSEL ANTONIO</t>
  </si>
  <si>
    <t>HEREDIA MEDRANO</t>
  </si>
  <si>
    <t>07600225796</t>
  </si>
  <si>
    <t>ESTHERLING MASSIEL</t>
  </si>
  <si>
    <t>LEBRON GARCIA</t>
  </si>
  <si>
    <t>02000179966</t>
  </si>
  <si>
    <t>INGRID YALIRIS</t>
  </si>
  <si>
    <t>REYNOSO DOÑE</t>
  </si>
  <si>
    <t>07300159642</t>
  </si>
  <si>
    <t>AYEISA MAREINE</t>
  </si>
  <si>
    <t>CEDEÑO RICHIEZ</t>
  </si>
  <si>
    <t>00800275315</t>
  </si>
  <si>
    <t>DE LA CRUZ VERAS</t>
  </si>
  <si>
    <t>00117056416</t>
  </si>
  <si>
    <t>WALESKA</t>
  </si>
  <si>
    <t>LORA JIMENEZ</t>
  </si>
  <si>
    <t>00100625797</t>
  </si>
  <si>
    <t>MELISSA MARGARITA</t>
  </si>
  <si>
    <t>MATOS PEREZ</t>
  </si>
  <si>
    <t>02200259873</t>
  </si>
  <si>
    <t>VALDEZ VALLEJO</t>
  </si>
  <si>
    <t>00103459541</t>
  </si>
  <si>
    <t>ANGELO ANGEL</t>
  </si>
  <si>
    <t>CABRERA ANGOMAS</t>
  </si>
  <si>
    <t>00115190050</t>
  </si>
  <si>
    <t>SANTA MARY</t>
  </si>
  <si>
    <t>EVA MARIA</t>
  </si>
  <si>
    <t>LEYBA TORRES</t>
  </si>
  <si>
    <t>01000847093</t>
  </si>
  <si>
    <t>MATHIS OGANDO</t>
  </si>
  <si>
    <t>YAMILET ALTAGRACIA</t>
  </si>
  <si>
    <t>NUÑEZ TEJADA</t>
  </si>
  <si>
    <t>DANIELA MORELIA</t>
  </si>
  <si>
    <t>CORDERO HERRERA</t>
  </si>
  <si>
    <t>02000180147</t>
  </si>
  <si>
    <t>OLIVER EMMANUEL</t>
  </si>
  <si>
    <t>FERMIN RODRIGUEZ</t>
  </si>
  <si>
    <t>MARIA SOLANGY</t>
  </si>
  <si>
    <t>MORENO ROSARIO</t>
  </si>
  <si>
    <t>00109376806</t>
  </si>
  <si>
    <t>ANNAY ELINA</t>
  </si>
  <si>
    <t>MERCEDES BERIGUETE</t>
  </si>
  <si>
    <t>YANITZA CAROLINA</t>
  </si>
  <si>
    <t>FELIZ MENA</t>
  </si>
  <si>
    <t>VICTORIA JAQUELYN</t>
  </si>
  <si>
    <t>VOLQUEZ PEGUERO</t>
  </si>
  <si>
    <t>JENNIFER</t>
  </si>
  <si>
    <t>DE LA ROSA EUGENIO</t>
  </si>
  <si>
    <t>JULIA</t>
  </si>
  <si>
    <t>OZUNA VILLA</t>
  </si>
  <si>
    <t>LEIDY ALTAGRACIA</t>
  </si>
  <si>
    <t>HERNANDEZ HERNANDEZ</t>
  </si>
  <si>
    <t>GERMAN</t>
  </si>
  <si>
    <t>BATISTA GUERRERO</t>
  </si>
  <si>
    <t>06600042979</t>
  </si>
  <si>
    <t>MARIELYS</t>
  </si>
  <si>
    <t>PIÑA GARCIA</t>
  </si>
  <si>
    <t>00115149072</t>
  </si>
  <si>
    <t>YANDRA</t>
  </si>
  <si>
    <t>MEDINA FERRERAS</t>
  </si>
  <si>
    <t>06400268444</t>
  </si>
  <si>
    <t>DELKIS YARELIS</t>
  </si>
  <si>
    <t>CUEVAS MEDINA</t>
  </si>
  <si>
    <t>00119301711</t>
  </si>
  <si>
    <t>ORALBI</t>
  </si>
  <si>
    <t>CABRERA GUZMAN</t>
  </si>
  <si>
    <t>MERCEDES ALTAGRACIA</t>
  </si>
  <si>
    <t>FIGUEROA GUZMAN</t>
  </si>
  <si>
    <t>04701069439</t>
  </si>
  <si>
    <t>ALEXANDRA</t>
  </si>
  <si>
    <t>GURIDIS SOLIS</t>
  </si>
  <si>
    <t>00500391016</t>
  </si>
  <si>
    <t>ERICK EDUARDO</t>
  </si>
  <si>
    <t>ORTIZ</t>
  </si>
  <si>
    <t>07100508303</t>
  </si>
  <si>
    <t>FRANKELISA MERCEDES</t>
  </si>
  <si>
    <t>GUZMAN PEREZ</t>
  </si>
  <si>
    <t>00117520312</t>
  </si>
  <si>
    <t>LAURA CRISTINA</t>
  </si>
  <si>
    <t>BAEZ GUZMAN</t>
  </si>
  <si>
    <t>JOKAIRA</t>
  </si>
  <si>
    <t>SANTOS SANTAMARIA</t>
  </si>
  <si>
    <t>JOAQUIN YERANDY</t>
  </si>
  <si>
    <t>MARTINEZ DE JESUS</t>
  </si>
  <si>
    <t>SANTA</t>
  </si>
  <si>
    <t>ORTEGA ALVAREZ</t>
  </si>
  <si>
    <t>LORI STACEY</t>
  </si>
  <si>
    <t>MONTERO FERRERAS</t>
  </si>
  <si>
    <t>IVELISSE</t>
  </si>
  <si>
    <t>MARTINEZ CRUZ</t>
  </si>
  <si>
    <t>06900078798</t>
  </si>
  <si>
    <t>ELIANA</t>
  </si>
  <si>
    <t>REYES ROJAS</t>
  </si>
  <si>
    <t>00113769962</t>
  </si>
  <si>
    <t>HECTOR FRANCISCO</t>
  </si>
  <si>
    <t>KATHERINE ROSANNA</t>
  </si>
  <si>
    <t>RODRIGUEZ FELIZ</t>
  </si>
  <si>
    <t>02300398613</t>
  </si>
  <si>
    <t>GELSON MANUEL</t>
  </si>
  <si>
    <t>GONZALEZ DIAZ</t>
  </si>
  <si>
    <t>ROBERT</t>
  </si>
  <si>
    <t>TIBURCIO DE LEON</t>
  </si>
  <si>
    <t>PEDRO RAFAEL</t>
  </si>
  <si>
    <t>RAMOS RODRIGUEZ</t>
  </si>
  <si>
    <t>01200393740</t>
  </si>
  <si>
    <t>WENDY LEONARDA</t>
  </si>
  <si>
    <t>COCCO ANGUSTIA</t>
  </si>
  <si>
    <t>ELVYS JUNIOR</t>
  </si>
  <si>
    <t>AUGUSTO PEREZ</t>
  </si>
  <si>
    <t>00110341393</t>
  </si>
  <si>
    <t>CLAURY JAKSENIS</t>
  </si>
  <si>
    <t>FERREIRA GUABA</t>
  </si>
  <si>
    <t>03701181947</t>
  </si>
  <si>
    <t>EVER CLAUDIO</t>
  </si>
  <si>
    <t>00116863002</t>
  </si>
  <si>
    <t>ARKIN NEFRY</t>
  </si>
  <si>
    <t>BAUTISTA ROSARIO</t>
  </si>
  <si>
    <t>00117189977</t>
  </si>
  <si>
    <t>SANTO</t>
  </si>
  <si>
    <t>DOMINGUEZ GOMEZ</t>
  </si>
  <si>
    <t>ANNERY YISSEL</t>
  </si>
  <si>
    <t>ALVAREZ JOSE</t>
  </si>
  <si>
    <t>SALOME</t>
  </si>
  <si>
    <t>BAEZ PIÑA</t>
  </si>
  <si>
    <t>07000013578</t>
  </si>
  <si>
    <t>NARCISO WERBER</t>
  </si>
  <si>
    <t>DE LOS SANTOS DE LOS SANTOS</t>
  </si>
  <si>
    <t>ALAN</t>
  </si>
  <si>
    <t>MORA ABREU</t>
  </si>
  <si>
    <t>00114998453</t>
  </si>
  <si>
    <t>MERAN MATEO</t>
  </si>
  <si>
    <t>CLAUDIA BENEDICE</t>
  </si>
  <si>
    <t>REYES DE RODRIGUEZ</t>
  </si>
  <si>
    <t>01800617068</t>
  </si>
  <si>
    <t>MELISSA</t>
  </si>
  <si>
    <t>MEJIA YI</t>
  </si>
  <si>
    <t>00112307863</t>
  </si>
  <si>
    <t>MAURICIO ABIGAIL</t>
  </si>
  <si>
    <t>GUERRERO POLANCO</t>
  </si>
  <si>
    <t>MARILYN</t>
  </si>
  <si>
    <t>HERNANDEZ RODRIGUEZ</t>
  </si>
  <si>
    <t>EUGENIA ENEROLIZA</t>
  </si>
  <si>
    <t>FERNANDEZ</t>
  </si>
  <si>
    <t>ROBERTO ANTONIO</t>
  </si>
  <si>
    <t>CASTILLO BRITO</t>
  </si>
  <si>
    <t>YOCASTA ALTAGRACIA</t>
  </si>
  <si>
    <t>CORDONES CUEVAS</t>
  </si>
  <si>
    <t>00112787866</t>
  </si>
  <si>
    <t>MAYRA ALTAGRACIA</t>
  </si>
  <si>
    <t>POLANCO FRIAS</t>
  </si>
  <si>
    <t>INANGELY MARIANA</t>
  </si>
  <si>
    <t>BONIFACIO PEÑA</t>
  </si>
  <si>
    <t>JOHANNY</t>
  </si>
  <si>
    <t>NOVA BRAZOBAN</t>
  </si>
  <si>
    <t>00107329716</t>
  </si>
  <si>
    <t>ROYER ANTONIO</t>
  </si>
  <si>
    <t>GOMEZ JIMENEZ</t>
  </si>
  <si>
    <t>00115103822</t>
  </si>
  <si>
    <t>JEAN SEIS</t>
  </si>
  <si>
    <t>FANNY</t>
  </si>
  <si>
    <t>GUILAMO BAUTISTA</t>
  </si>
  <si>
    <t>EMERLIN VICTORIA</t>
  </si>
  <si>
    <t>TEJEDA BURGOS</t>
  </si>
  <si>
    <t>MANUEL</t>
  </si>
  <si>
    <t>MATOS MATOS</t>
  </si>
  <si>
    <t>00500346358</t>
  </si>
  <si>
    <t>SEVERINO</t>
  </si>
  <si>
    <t>LORA ROSARIO</t>
  </si>
  <si>
    <t>ARGENIS MARIANO</t>
  </si>
  <si>
    <t>RIVAS YNFANTE</t>
  </si>
  <si>
    <t>00115569196</t>
  </si>
  <si>
    <t>ROBERTICO</t>
  </si>
  <si>
    <t>FLORENTINO UCETA</t>
  </si>
  <si>
    <t>00107632614</t>
  </si>
  <si>
    <t>ISMAEL</t>
  </si>
  <si>
    <t>MOJICA BATISTA</t>
  </si>
  <si>
    <t>00105889307</t>
  </si>
  <si>
    <t>VENTURA BATISTA</t>
  </si>
  <si>
    <t>00117305425</t>
  </si>
  <si>
    <t>YOMAIRIS</t>
  </si>
  <si>
    <t>ULERIO PEREZ</t>
  </si>
  <si>
    <t>01201240114</t>
  </si>
  <si>
    <t>MARCO MIGUEL</t>
  </si>
  <si>
    <t>SANCHEZ PEREZ</t>
  </si>
  <si>
    <t>EDUARDO ANTONIO</t>
  </si>
  <si>
    <t>SANCHEZ SANTOS</t>
  </si>
  <si>
    <t>00106395403</t>
  </si>
  <si>
    <t>MILAGROS CLARIBEL</t>
  </si>
  <si>
    <t>GUZMAN HERNANDEZ</t>
  </si>
  <si>
    <t>HENRY CONFESOR</t>
  </si>
  <si>
    <t>OGANDO DE LA ROSA</t>
  </si>
  <si>
    <t>EDGAR</t>
  </si>
  <si>
    <t>OVIEDO VASQUEZ</t>
  </si>
  <si>
    <t>RONNY ALEXANDER</t>
  </si>
  <si>
    <t>ACOSTA ORTIZ</t>
  </si>
  <si>
    <t>EMELY MARIA</t>
  </si>
  <si>
    <t>00111915146</t>
  </si>
  <si>
    <t>ROSARIO ARSENIA</t>
  </si>
  <si>
    <t>DE JESUS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</si>
</sst>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ptos Narrow"/>
      <scheme val="minor"/>
    </font>
    <font>
      <b/>
      <sz val="12.0"/>
      <color rgb="FF1F3864"/>
      <name val="Aptos Narrow"/>
    </font>
    <font>
      <sz val="12.0"/>
      <color theme="1"/>
      <name val="Aptos Narrow"/>
    </font>
    <font>
      <sz val="12.0"/>
      <color theme="1"/>
      <name val="Quattrocento Sans"/>
    </font>
    <font>
      <b/>
      <sz val="12.0"/>
      <color rgb="FF000000"/>
      <name val="Arial"/>
    </font>
    <font/>
    <font>
      <b/>
      <sz val="12.0"/>
      <color rgb="FF000000"/>
      <name val="Aptos Narrow"/>
    </font>
    <font>
      <sz val="12.0"/>
      <color theme="1"/>
      <name val="Arial"/>
    </font>
    <font>
      <sz val="11.0"/>
      <color theme="1"/>
      <name val="Calibri"/>
    </font>
    <font>
      <sz val="11.0"/>
      <color theme="1"/>
      <name val="Aptos Narrow"/>
    </font>
    <font>
      <sz val="12.0"/>
      <color theme="1"/>
      <name val="&quot;Aptos Narrow&quot;"/>
    </font>
    <font>
      <b/>
      <sz val="12.0"/>
      <color theme="1"/>
      <name val="Aptos Narrow"/>
    </font>
    <font>
      <sz val="12.0"/>
      <color rgb="FF000000"/>
      <name val="Aptos Narrow"/>
    </font>
    <font>
      <sz val="12.0"/>
      <color theme="1"/>
      <name val="Calibri"/>
    </font>
    <font>
      <u/>
      <sz val="11.0"/>
      <color rgb="FF0000FF"/>
      <name val="Calibri"/>
    </font>
    <font>
      <sz val="8.0"/>
      <color rgb="FF000000"/>
      <name val="Arial"/>
    </font>
    <font>
      <sz val="8.0"/>
      <color theme="1"/>
      <name val="Arial"/>
    </font>
    <font>
      <sz val="11.0"/>
      <color rgb="FF000000"/>
      <name val="Calibri"/>
    </font>
    <font>
      <color rgb="FF000000"/>
      <name val="Aptos Narrow"/>
      <scheme val="minor"/>
    </font>
    <font>
      <b/>
      <sz val="16.0"/>
      <color theme="1"/>
      <name val="Aptos Narrow"/>
    </font>
    <font>
      <b/>
      <sz val="11.0"/>
      <color rgb="FFFFFFFF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CC4125"/>
        <bgColor rgb="FFCC4125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5B0E1"/>
        <bgColor rgb="FF45B0E1"/>
      </patternFill>
    </fill>
    <fill>
      <patternFill patternType="solid">
        <fgColor rgb="FF2E75B6"/>
        <bgColor rgb="FF2E75B6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 style="thin">
        <color rgb="FF5B9BD5"/>
      </top>
      <bottom/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vertical="center"/>
    </xf>
    <xf borderId="4" fillId="3" fontId="6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readingOrder="0" vertical="center"/>
    </xf>
    <xf borderId="7" fillId="0" fontId="7" numFmtId="0" xfId="0" applyAlignment="1" applyBorder="1" applyFont="1">
      <alignment readingOrder="0" vertical="center"/>
    </xf>
    <xf borderId="12" fillId="0" fontId="7" numFmtId="0" xfId="0" applyAlignment="1" applyBorder="1" applyFont="1">
      <alignment readingOrder="0" vertical="center"/>
    </xf>
    <xf borderId="9" fillId="0" fontId="7" numFmtId="0" xfId="0" applyAlignment="1" applyBorder="1" applyFont="1">
      <alignment readingOrder="0"/>
    </xf>
    <xf borderId="12" fillId="0" fontId="2" numFmtId="0" xfId="0" applyAlignment="1" applyBorder="1" applyFont="1">
      <alignment vertical="center"/>
    </xf>
    <xf borderId="10" fillId="0" fontId="7" numFmtId="0" xfId="0" applyAlignment="1" applyBorder="1" applyFont="1">
      <alignment readingOrder="0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0" fillId="0" fontId="8" numFmtId="0" xfId="0" applyFont="1"/>
    <xf borderId="6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horizontal="center" vertical="center"/>
    </xf>
    <xf borderId="17" fillId="0" fontId="7" numFmtId="0" xfId="0" applyAlignment="1" applyBorder="1" applyFont="1">
      <alignment readingOrder="0" vertical="center"/>
    </xf>
    <xf borderId="18" fillId="0" fontId="7" numFmtId="0" xfId="0" applyAlignment="1" applyBorder="1" applyFont="1">
      <alignment readingOrder="0" vertical="center"/>
    </xf>
    <xf borderId="0" fillId="0" fontId="7" numFmtId="0" xfId="0" applyAlignment="1" applyFont="1">
      <alignment readingOrder="0"/>
    </xf>
    <xf borderId="19" fillId="2" fontId="6" numFmtId="0" xfId="0" applyAlignment="1" applyBorder="1" applyFont="1">
      <alignment horizontal="center" vertical="center"/>
    </xf>
    <xf borderId="20" fillId="0" fontId="5" numFmtId="0" xfId="0" applyBorder="1" applyFont="1"/>
    <xf borderId="21" fillId="0" fontId="5" numFmtId="0" xfId="0" applyBorder="1" applyFont="1"/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2" fillId="0" fontId="7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vertical="center"/>
    </xf>
    <xf borderId="6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readingOrder="0"/>
    </xf>
    <xf borderId="26" fillId="0" fontId="2" numFmtId="0" xfId="0" applyAlignment="1" applyBorder="1" applyFont="1">
      <alignment vertical="center"/>
    </xf>
    <xf borderId="6" fillId="0" fontId="7" numFmtId="0" xfId="0" applyAlignment="1" applyBorder="1" applyFont="1">
      <alignment readingOrder="0" shrinkToFit="0" wrapText="0"/>
    </xf>
    <xf borderId="6" fillId="0" fontId="10" numFmtId="0" xfId="0" applyAlignment="1" applyBorder="1" applyFont="1">
      <alignment readingOrder="0" shrinkToFit="0" wrapText="0"/>
    </xf>
    <xf borderId="6" fillId="0" fontId="10" numFmtId="0" xfId="0" applyAlignment="1" applyBorder="1" applyFont="1">
      <alignment shrinkToFit="0" wrapText="0"/>
    </xf>
    <xf borderId="6" fillId="0" fontId="11" numFmtId="0" xfId="0" applyBorder="1" applyFont="1"/>
    <xf borderId="6" fillId="0" fontId="12" numFmtId="0" xfId="0" applyAlignment="1" applyBorder="1" applyFont="1">
      <alignment vertical="center"/>
    </xf>
    <xf borderId="6" fillId="0" fontId="13" numFmtId="0" xfId="0" applyAlignment="1" applyBorder="1" applyFont="1">
      <alignment vertical="center"/>
    </xf>
    <xf borderId="6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left" readingOrder="0" shrinkToFit="0" vertical="center" wrapText="1"/>
    </xf>
    <xf borderId="22" fillId="4" fontId="2" numFmtId="0" xfId="0" applyAlignment="1" applyBorder="1" applyFill="1" applyFont="1">
      <alignment horizontal="center" vertical="center"/>
    </xf>
    <xf borderId="6" fillId="4" fontId="12" numFmtId="0" xfId="0" applyAlignment="1" applyBorder="1" applyFont="1">
      <alignment vertical="center"/>
    </xf>
    <xf borderId="6" fillId="4" fontId="2" numFmtId="0" xfId="0" applyBorder="1" applyFont="1"/>
    <xf borderId="0" fillId="4" fontId="2" numFmtId="0" xfId="0" applyFont="1"/>
    <xf borderId="6" fillId="5" fontId="8" numFmtId="0" xfId="0" applyAlignment="1" applyBorder="1" applyFill="1" applyFont="1">
      <alignment horizontal="left" shrinkToFit="0" vertical="center" wrapText="1"/>
    </xf>
    <xf borderId="6" fillId="6" fontId="8" numFmtId="0" xfId="0" applyAlignment="1" applyBorder="1" applyFill="1" applyFont="1">
      <alignment horizontal="left" shrinkToFit="0" vertical="center" wrapText="1"/>
    </xf>
    <xf borderId="6" fillId="6" fontId="12" numFmtId="0" xfId="0" applyAlignment="1" applyBorder="1" applyFont="1">
      <alignment vertical="center"/>
    </xf>
    <xf borderId="6" fillId="0" fontId="14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vertical="center"/>
    </xf>
    <xf borderId="27" fillId="0" fontId="5" numFmtId="0" xfId="0" applyBorder="1" applyFont="1"/>
    <xf borderId="6" fillId="0" fontId="8" numFmtId="0" xfId="0" applyAlignment="1" applyBorder="1" applyFont="1">
      <alignment horizontal="left" readingOrder="0"/>
    </xf>
    <xf borderId="6" fillId="0" fontId="15" numFmtId="0" xfId="0" applyAlignment="1" applyBorder="1" applyFont="1">
      <alignment readingOrder="0" vertical="center"/>
    </xf>
    <xf borderId="6" fillId="0" fontId="16" numFmtId="0" xfId="0" applyAlignment="1" applyBorder="1" applyFont="1">
      <alignment horizontal="left" readingOrder="0" shrinkToFit="0" vertical="center" wrapText="1"/>
    </xf>
    <xf borderId="6" fillId="0" fontId="16" numFmtId="0" xfId="0" applyAlignment="1" applyBorder="1" applyFont="1">
      <alignment horizontal="left" shrinkToFit="0" vertical="center" wrapText="1"/>
    </xf>
    <xf borderId="6" fillId="7" fontId="17" numFmtId="0" xfId="0" applyAlignment="1" applyBorder="1" applyFill="1" applyFont="1">
      <alignment horizontal="left" shrinkToFit="0" vertical="center" wrapText="1"/>
    </xf>
    <xf borderId="0" fillId="7" fontId="18" numFmtId="0" xfId="0" applyFont="1"/>
    <xf borderId="6" fillId="7" fontId="17" numFmtId="0" xfId="0" applyAlignment="1" applyBorder="1" applyFont="1">
      <alignment horizontal="left" readingOrder="0"/>
    </xf>
    <xf borderId="6" fillId="0" fontId="15" numFmtId="0" xfId="0" applyAlignment="1" applyBorder="1" applyFont="1">
      <alignment vertical="center"/>
    </xf>
    <xf borderId="6" fillId="8" fontId="17" numFmtId="0" xfId="0" applyAlignment="1" applyBorder="1" applyFill="1" applyFont="1">
      <alignment horizontal="left" shrinkToFit="0" vertical="center" wrapText="1"/>
    </xf>
    <xf borderId="6" fillId="8" fontId="17" numFmtId="0" xfId="0" applyAlignment="1" applyBorder="1" applyFont="1">
      <alignment horizontal="left" readingOrder="0"/>
    </xf>
    <xf borderId="6" fillId="8" fontId="15" numFmtId="0" xfId="0" applyAlignment="1" applyBorder="1" applyFont="1">
      <alignment horizontal="left" readingOrder="0" shrinkToFit="0" vertical="center" wrapText="1"/>
    </xf>
    <xf borderId="6" fillId="7" fontId="12" numFmtId="0" xfId="0" applyAlignment="1" applyBorder="1" applyFont="1">
      <alignment vertical="center"/>
    </xf>
    <xf borderId="6" fillId="7" fontId="8" numFmtId="0" xfId="0" applyAlignment="1" applyBorder="1" applyFont="1">
      <alignment horizontal="left" readingOrder="0"/>
    </xf>
    <xf borderId="6" fillId="7" fontId="8" numFmtId="0" xfId="0" applyAlignment="1" applyBorder="1" applyFont="1">
      <alignment horizontal="left" shrinkToFit="0" vertical="center" wrapText="1"/>
    </xf>
    <xf borderId="6" fillId="7" fontId="16" numFmtId="0" xfId="0" applyAlignment="1" applyBorder="1" applyFont="1">
      <alignment horizontal="left" readingOrder="0" shrinkToFit="0" vertical="center" wrapText="1"/>
    </xf>
    <xf borderId="28" fillId="0" fontId="5" numFmtId="0" xfId="0" applyBorder="1" applyFont="1"/>
    <xf borderId="6" fillId="9" fontId="12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shrinkToFit="0" vertical="center" wrapText="1"/>
    </xf>
    <xf borderId="6" fillId="10" fontId="2" numFmtId="0" xfId="0" applyAlignment="1" applyBorder="1" applyFill="1" applyFont="1">
      <alignment vertical="center"/>
    </xf>
    <xf borderId="9" fillId="0" fontId="13" numFmtId="0" xfId="0" applyAlignment="1" applyBorder="1" applyFont="1">
      <alignment shrinkToFit="0" vertical="center" wrapText="1"/>
    </xf>
    <xf borderId="10" fillId="0" fontId="13" numFmtId="0" xfId="0" applyAlignment="1" applyBorder="1" applyFont="1">
      <alignment shrinkToFit="0" vertical="center" wrapText="1"/>
    </xf>
    <xf borderId="0" fillId="0" fontId="17" numFmtId="0" xfId="0" applyFont="1"/>
    <xf borderId="0" fillId="0" fontId="17" numFmtId="0" xfId="0" applyAlignment="1" applyFont="1">
      <alignment horizontal="left"/>
    </xf>
    <xf borderId="29" fillId="0" fontId="13" numFmtId="0" xfId="0" applyAlignment="1" applyBorder="1" applyFont="1">
      <alignment shrinkToFit="0" vertical="center" wrapText="1"/>
    </xf>
    <xf borderId="30" fillId="0" fontId="13" numFmtId="0" xfId="0" applyAlignment="1" applyBorder="1" applyFont="1">
      <alignment shrinkToFit="0" vertical="center" wrapText="1"/>
    </xf>
    <xf borderId="0" fillId="0" fontId="13" numFmtId="0" xfId="0" applyFont="1"/>
    <xf borderId="0" fillId="0" fontId="13" numFmtId="0" xfId="0" applyAlignment="1" applyFont="1">
      <alignment vertical="center"/>
    </xf>
    <xf borderId="1" fillId="0" fontId="8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31" fillId="11" fontId="19" numFmtId="49" xfId="0" applyAlignment="1" applyBorder="1" applyFill="1" applyFont="1" applyNumberFormat="1">
      <alignment horizontal="center" vertical="center"/>
    </xf>
    <xf borderId="32" fillId="0" fontId="5" numFmtId="0" xfId="0" applyBorder="1" applyFont="1"/>
    <xf borderId="33" fillId="0" fontId="5" numFmtId="0" xfId="0" applyBorder="1" applyFont="1"/>
    <xf borderId="34" fillId="10" fontId="9" numFmtId="0" xfId="0" applyBorder="1" applyFont="1"/>
    <xf borderId="35" fillId="12" fontId="20" numFmtId="49" xfId="0" applyAlignment="1" applyBorder="1" applyFill="1" applyFont="1" applyNumberFormat="1">
      <alignment horizontal="center" vertical="center"/>
    </xf>
    <xf borderId="0" fillId="0" fontId="9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Grisely%20Lopez\AppData\Local\Microsoft\Olk\Attachments\ooa-7910b2e3-bccc-4d6a-9ccc-e1f47f8b7ee0\503c225fdd7489ec31487d0f8a0055a6ef8e52135e7207d71e1425793c044a42\MINPRE_Listado%20de%20Invitados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Grisely%20Lopez\AppData\Local\Microsoft\Olk\Attachments\ooa-7910b2e3-bccc-4d6a-9ccc-e1f47f8b7ee0\ed3f88505488ff477f14a6ee3f9cba80def31a5e72ef8d2c182220261bc3b1fa\LISTADO%20DE%20CONTACTOS%20CJB.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personal/griselypolanco_vbc_gob_do/Documents/Desktop/DOCUMENTOS%20INAUGURACIONES/CIUDAD%20REAL%20ECOLOGICA/Lista%20completa%20invitados%20inauguraci&#243;n%20proyecto%20CIUDAD%20REAL%20ECOLOGICA%20-%20Copy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a Invit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YECTOS"/>
      <sheetName val="LEVANTAMIENTO MACEO 28-1-2026"/>
      <sheetName val="LOTES HABITACIONALES"/>
    </sheetNames>
    <sheetDataSet>
      <sheetData sheetId="0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SPECIALES Y AUTORIDADES "/>
      <sheetName val="BONO MUJER Y FAMILIA LLAVE"/>
      <sheetName val="INVITADOS GENERALES "/>
      <sheetName val="FAMILIAS"/>
      <sheetName val="FAMILIAS "/>
      <sheetName val="PERSONA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Fiducorp&amp;rlz=1C1GCEU_enDO1101DO1101&amp;oq=Fiducorp&amp;gs_lcrp=EgZjaHJvbWUyDAgAEEUYORjjAhiABDINCAEQLhivARjHARiABDIHCAIQABiABDIHCAMQABiABDIHCAQQABiABDIHCAUQABiABDIHCAYQABiABDIHCAcQABjvBTIKCAgQABiABBiiBDIHCAkQABjvBdIBBzQzMWowajeoAgCwAgA&amp;sourceid=chrome&amp;ie=UTF-8" TargetMode="External"/><Relationship Id="rId2" Type="http://schemas.openxmlformats.org/officeDocument/2006/relationships/hyperlink" Target="https://hoy.com.do/vivir/alegria/digital-del-hoy-entra-al-mundo-de-los-podcast_948376.html" TargetMode="External"/><Relationship Id="rId3" Type="http://schemas.openxmlformats.org/officeDocument/2006/relationships/hyperlink" Target="https://hoy.com.do/vivir/alegria/digital-del-hoy-entra-al-mundo-de-los-podcast_948376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82.5"/>
    <col customWidth="1" min="3" max="3" width="45.13"/>
    <col customWidth="1" min="4" max="4" width="25.0"/>
    <col customWidth="1" min="5" max="5" width="37.13"/>
    <col customWidth="1" min="6" max="6" width="17.13"/>
    <col customWidth="1" min="7" max="7" width="21.13"/>
    <col customWidth="1" min="8" max="11" width="17.13"/>
    <col customWidth="1" min="12" max="12" width="36.75"/>
    <col customWidth="1" min="13" max="26" width="9.0"/>
  </cols>
  <sheetData>
    <row r="1" ht="15.75" customHeight="1">
      <c r="A1" s="1" t="s">
        <v>0</v>
      </c>
      <c r="M1" s="2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E2" s="3"/>
      <c r="F2" s="3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7" t="s">
        <v>3</v>
      </c>
      <c r="B4" s="7" t="s">
        <v>4</v>
      </c>
      <c r="C4" s="7" t="s">
        <v>5</v>
      </c>
      <c r="D4" s="7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9">
        <v>1.0</v>
      </c>
      <c r="B5" s="10" t="s">
        <v>15</v>
      </c>
      <c r="C5" s="11" t="s">
        <v>16</v>
      </c>
      <c r="D5" s="12" t="s">
        <v>17</v>
      </c>
      <c r="E5" s="13"/>
      <c r="F5" s="13"/>
      <c r="G5" s="14"/>
      <c r="H5" s="14"/>
      <c r="I5" s="14"/>
      <c r="J5" s="14"/>
      <c r="K5" s="14"/>
      <c r="L5" s="14" t="s">
        <v>18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5"/>
      <c r="B6" s="16" t="s">
        <v>19</v>
      </c>
      <c r="C6" s="17" t="s">
        <v>20</v>
      </c>
      <c r="D6" s="18" t="s">
        <v>21</v>
      </c>
      <c r="E6" s="13"/>
      <c r="F6" s="19" t="s">
        <v>22</v>
      </c>
      <c r="G6" s="14"/>
      <c r="H6" s="14"/>
      <c r="I6" s="14"/>
      <c r="J6" s="14"/>
      <c r="K6" s="14"/>
      <c r="L6" s="1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5">
        <v>2.0</v>
      </c>
      <c r="B7" s="10" t="s">
        <v>23</v>
      </c>
      <c r="C7" s="11" t="s">
        <v>24</v>
      </c>
      <c r="D7" s="20"/>
      <c r="E7" s="13"/>
      <c r="F7" s="19" t="s">
        <v>22</v>
      </c>
      <c r="G7" s="21" t="s">
        <v>25</v>
      </c>
      <c r="H7" s="14"/>
      <c r="I7" s="21" t="s">
        <v>26</v>
      </c>
      <c r="J7" s="14"/>
      <c r="K7" s="14"/>
      <c r="L7" s="14" t="s">
        <v>27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2">
        <v>3.0</v>
      </c>
      <c r="B8" s="10" t="s">
        <v>28</v>
      </c>
      <c r="C8" s="10" t="s">
        <v>29</v>
      </c>
      <c r="D8" s="23" t="s">
        <v>30</v>
      </c>
      <c r="E8" s="13"/>
      <c r="F8" s="19" t="s">
        <v>22</v>
      </c>
      <c r="G8" s="14"/>
      <c r="H8" s="14"/>
      <c r="I8" s="14"/>
      <c r="J8" s="14"/>
      <c r="K8" s="14"/>
      <c r="L8" s="14" t="s">
        <v>31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>
        <v>4.0</v>
      </c>
      <c r="B9" s="10" t="s">
        <v>32</v>
      </c>
      <c r="C9" s="10" t="s">
        <v>33</v>
      </c>
      <c r="D9" s="23" t="s">
        <v>34</v>
      </c>
      <c r="E9" s="24" t="s">
        <v>35</v>
      </c>
      <c r="F9" s="19" t="s">
        <v>22</v>
      </c>
      <c r="G9" s="14"/>
      <c r="H9" s="14"/>
      <c r="I9" s="14"/>
      <c r="J9" s="14"/>
      <c r="K9" s="14"/>
      <c r="L9" s="14" t="s">
        <v>31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5">
        <v>5.0</v>
      </c>
      <c r="B10" s="10" t="s">
        <v>36</v>
      </c>
      <c r="C10" s="10" t="s">
        <v>37</v>
      </c>
      <c r="D10" s="23" t="s">
        <v>38</v>
      </c>
      <c r="E10" s="13"/>
      <c r="F10" s="19" t="s">
        <v>22</v>
      </c>
      <c r="G10" s="14"/>
      <c r="H10" s="14"/>
      <c r="I10" s="14"/>
      <c r="J10" s="14"/>
      <c r="K10" s="14"/>
      <c r="L10" s="14" t="s">
        <v>31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2">
        <v>6.0</v>
      </c>
      <c r="B11" s="10" t="s">
        <v>39</v>
      </c>
      <c r="C11" s="10" t="s">
        <v>40</v>
      </c>
      <c r="D11" s="23" t="s">
        <v>41</v>
      </c>
      <c r="E11" s="13"/>
      <c r="F11" s="19" t="s">
        <v>22</v>
      </c>
      <c r="G11" s="21" t="s">
        <v>25</v>
      </c>
      <c r="H11" s="21" t="s">
        <v>42</v>
      </c>
      <c r="I11" s="14"/>
      <c r="J11" s="14"/>
      <c r="K11" s="14"/>
      <c r="L11" s="14" t="s">
        <v>31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9">
        <v>7.0</v>
      </c>
      <c r="B12" s="10" t="s">
        <v>43</v>
      </c>
      <c r="C12" s="10" t="s">
        <v>44</v>
      </c>
      <c r="D12" s="23" t="s">
        <v>45</v>
      </c>
      <c r="E12" s="13"/>
      <c r="F12" s="19" t="s">
        <v>22</v>
      </c>
      <c r="G12" s="14"/>
      <c r="H12" s="14"/>
      <c r="I12" s="14"/>
      <c r="J12" s="14"/>
      <c r="K12" s="14"/>
      <c r="L12" s="14" t="s">
        <v>31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5">
        <v>8.0</v>
      </c>
      <c r="B13" s="10" t="s">
        <v>46</v>
      </c>
      <c r="C13" s="10" t="s">
        <v>47</v>
      </c>
      <c r="D13" s="23" t="s">
        <v>48</v>
      </c>
      <c r="E13" s="14" t="s">
        <v>49</v>
      </c>
      <c r="F13" s="19" t="s">
        <v>22</v>
      </c>
      <c r="G13" s="13"/>
      <c r="H13" s="13"/>
      <c r="I13" s="13"/>
      <c r="J13" s="13"/>
      <c r="K13" s="13"/>
      <c r="L13" s="14" t="s">
        <v>31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>
        <v>9.0</v>
      </c>
      <c r="B14" s="10" t="s">
        <v>50</v>
      </c>
      <c r="C14" s="10" t="s">
        <v>51</v>
      </c>
      <c r="D14" s="23" t="s">
        <v>52</v>
      </c>
      <c r="E14" s="13"/>
      <c r="F14" s="19" t="s">
        <v>22</v>
      </c>
      <c r="G14" s="14"/>
      <c r="H14" s="14"/>
      <c r="I14" s="14"/>
      <c r="J14" s="14"/>
      <c r="K14" s="14"/>
      <c r="L14" s="14" t="s">
        <v>31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9">
        <v>10.0</v>
      </c>
      <c r="B15" s="10" t="s">
        <v>53</v>
      </c>
      <c r="C15" s="10" t="s">
        <v>54</v>
      </c>
      <c r="D15" s="23" t="s">
        <v>55</v>
      </c>
      <c r="E15" s="13"/>
      <c r="F15" s="13"/>
      <c r="G15" s="14"/>
      <c r="H15" s="14"/>
      <c r="I15" s="14"/>
      <c r="J15" s="14"/>
      <c r="K15" s="14"/>
      <c r="L15" s="14" t="s">
        <v>31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5">
        <v>11.0</v>
      </c>
      <c r="B16" s="10" t="s">
        <v>56</v>
      </c>
      <c r="C16" s="10" t="s">
        <v>57</v>
      </c>
      <c r="D16" s="23" t="s">
        <v>58</v>
      </c>
      <c r="E16" s="25" t="s">
        <v>59</v>
      </c>
      <c r="F16" s="19" t="s">
        <v>22</v>
      </c>
      <c r="G16" s="14"/>
      <c r="H16" s="14"/>
      <c r="I16" s="14"/>
      <c r="J16" s="14"/>
      <c r="K16" s="14"/>
      <c r="L16" s="14" t="s">
        <v>31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5">
        <v>12.0</v>
      </c>
      <c r="B17" s="10" t="s">
        <v>60</v>
      </c>
      <c r="C17" s="10" t="s">
        <v>61</v>
      </c>
      <c r="D17" s="23"/>
      <c r="E17" s="26"/>
      <c r="F17" s="19" t="s">
        <v>22</v>
      </c>
      <c r="G17" s="14"/>
      <c r="H17" s="14"/>
      <c r="I17" s="14"/>
      <c r="J17" s="14"/>
      <c r="K17" s="14"/>
      <c r="L17" s="14" t="s">
        <v>31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5">
        <v>13.0</v>
      </c>
      <c r="B18" s="10" t="s">
        <v>62</v>
      </c>
      <c r="C18" s="10" t="s">
        <v>63</v>
      </c>
      <c r="D18" s="23" t="s">
        <v>64</v>
      </c>
      <c r="E18" s="13" t="s">
        <v>65</v>
      </c>
      <c r="F18" s="19" t="s">
        <v>22</v>
      </c>
      <c r="G18" s="21" t="s">
        <v>66</v>
      </c>
      <c r="H18" s="14"/>
      <c r="I18" s="14"/>
      <c r="J18" s="14"/>
      <c r="K18" s="14"/>
      <c r="L18" s="14" t="s">
        <v>67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5">
        <v>14.0</v>
      </c>
      <c r="B19" s="10" t="s">
        <v>68</v>
      </c>
      <c r="C19" s="10" t="s">
        <v>69</v>
      </c>
      <c r="D19" s="23" t="s">
        <v>70</v>
      </c>
      <c r="E19" s="13"/>
      <c r="F19" s="13"/>
      <c r="G19" s="21" t="s">
        <v>25</v>
      </c>
      <c r="H19" s="21" t="s">
        <v>26</v>
      </c>
      <c r="I19" s="21" t="s">
        <v>26</v>
      </c>
      <c r="J19" s="21" t="s">
        <v>26</v>
      </c>
      <c r="K19" s="21" t="s">
        <v>26</v>
      </c>
      <c r="L19" s="14" t="s">
        <v>31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5">
        <v>15.0</v>
      </c>
      <c r="B20" s="27" t="s">
        <v>71</v>
      </c>
      <c r="C20" s="10" t="s">
        <v>72</v>
      </c>
      <c r="D20" s="23" t="s">
        <v>73</v>
      </c>
      <c r="E20" s="13"/>
      <c r="F20" s="13"/>
      <c r="G20" s="14"/>
      <c r="H20" s="14"/>
      <c r="I20" s="14"/>
      <c r="J20" s="14"/>
      <c r="K20" s="14"/>
      <c r="L20" s="14" t="s">
        <v>31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5">
        <v>16.0</v>
      </c>
      <c r="B21" s="10" t="s">
        <v>74</v>
      </c>
      <c r="C21" s="10" t="s">
        <v>75</v>
      </c>
      <c r="D21" s="23" t="s">
        <v>76</v>
      </c>
      <c r="E21" s="14" t="s">
        <v>77</v>
      </c>
      <c r="F21" s="19" t="s">
        <v>22</v>
      </c>
      <c r="G21" s="13"/>
      <c r="H21" s="13"/>
      <c r="I21" s="13"/>
      <c r="J21" s="13"/>
      <c r="K21" s="13"/>
      <c r="L21" s="14" t="s">
        <v>31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5">
        <v>17.0</v>
      </c>
      <c r="B22" s="10" t="s">
        <v>78</v>
      </c>
      <c r="C22" s="10" t="s">
        <v>79</v>
      </c>
      <c r="D22" s="23" t="s">
        <v>80</v>
      </c>
      <c r="E22" s="14" t="s">
        <v>81</v>
      </c>
      <c r="F22" s="19" t="s">
        <v>22</v>
      </c>
      <c r="G22" s="13"/>
      <c r="H22" s="13"/>
      <c r="I22" s="13"/>
      <c r="J22" s="13"/>
      <c r="K22" s="13"/>
      <c r="L22" s="14" t="s">
        <v>31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8"/>
      <c r="B23" s="29" t="s">
        <v>82</v>
      </c>
      <c r="C23" s="29" t="s">
        <v>83</v>
      </c>
      <c r="D23" s="30" t="s">
        <v>84</v>
      </c>
      <c r="E23" s="2"/>
      <c r="F23" s="3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2" t="s">
        <v>85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 t="s">
        <v>3</v>
      </c>
      <c r="B25" s="7" t="s">
        <v>4</v>
      </c>
      <c r="C25" s="7" t="s">
        <v>5</v>
      </c>
      <c r="D25" s="7" t="s">
        <v>6</v>
      </c>
      <c r="E25" s="8" t="s">
        <v>7</v>
      </c>
      <c r="F25" s="8" t="s">
        <v>8</v>
      </c>
      <c r="G25" s="8" t="s">
        <v>9</v>
      </c>
      <c r="H25" s="8" t="s">
        <v>10</v>
      </c>
      <c r="I25" s="8" t="s">
        <v>11</v>
      </c>
      <c r="J25" s="8" t="s">
        <v>12</v>
      </c>
      <c r="K25" s="8" t="s">
        <v>13</v>
      </c>
      <c r="L25" s="8" t="s">
        <v>14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5">
        <f>+A22+1</f>
        <v>18</v>
      </c>
      <c r="B26" s="36" t="s">
        <v>86</v>
      </c>
      <c r="C26" s="36" t="s">
        <v>87</v>
      </c>
      <c r="D26" s="37"/>
      <c r="E26" s="14" t="s">
        <v>88</v>
      </c>
      <c r="F26" s="13"/>
      <c r="G26" s="13"/>
      <c r="H26" s="13"/>
      <c r="I26" s="13"/>
      <c r="J26" s="13"/>
      <c r="K26" s="13"/>
      <c r="L26" s="13" t="s">
        <v>89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5">
        <f>+A26+1</f>
        <v>19</v>
      </c>
      <c r="B27" s="10" t="s">
        <v>90</v>
      </c>
      <c r="C27" s="10" t="s">
        <v>91</v>
      </c>
      <c r="D27" s="10"/>
      <c r="E27" s="10"/>
      <c r="F27" s="10"/>
      <c r="G27" s="10"/>
      <c r="H27" s="38"/>
      <c r="I27" s="38"/>
      <c r="J27" s="38"/>
      <c r="K27" s="38"/>
      <c r="L27" s="13" t="s">
        <v>89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9">
        <v>0.0</v>
      </c>
      <c r="B28" s="10" t="s">
        <v>92</v>
      </c>
      <c r="C28" s="10" t="s">
        <v>93</v>
      </c>
      <c r="D28" s="40"/>
      <c r="E28" s="41" t="s">
        <v>94</v>
      </c>
      <c r="F28" s="16" t="s">
        <v>22</v>
      </c>
      <c r="G28" s="10"/>
      <c r="H28" s="10"/>
      <c r="I28" s="10"/>
      <c r="J28" s="10"/>
      <c r="K28" s="10"/>
      <c r="L28" s="42" t="s">
        <v>95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5">
        <f t="shared" ref="A29:A83" si="1">+A28+1</f>
        <v>1</v>
      </c>
      <c r="B29" s="10" t="s">
        <v>96</v>
      </c>
      <c r="C29" s="10" t="s">
        <v>97</v>
      </c>
      <c r="D29" s="40"/>
      <c r="E29" s="10" t="s">
        <v>98</v>
      </c>
      <c r="F29" s="10"/>
      <c r="G29" s="10"/>
      <c r="H29" s="10"/>
      <c r="I29" s="10"/>
      <c r="J29" s="10"/>
      <c r="K29" s="10"/>
      <c r="L29" s="14" t="s">
        <v>31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5">
        <f t="shared" si="1"/>
        <v>2</v>
      </c>
      <c r="B30" s="10" t="s">
        <v>99</v>
      </c>
      <c r="C30" s="10" t="s">
        <v>100</v>
      </c>
      <c r="D30" s="43"/>
      <c r="E30" s="10" t="s">
        <v>101</v>
      </c>
      <c r="F30" s="10"/>
      <c r="G30" s="10"/>
      <c r="H30" s="10"/>
      <c r="I30" s="10"/>
      <c r="J30" s="10"/>
      <c r="K30" s="10"/>
      <c r="L30" s="14" t="s">
        <v>31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5">
        <f t="shared" si="1"/>
        <v>3</v>
      </c>
      <c r="B31" s="10" t="s">
        <v>102</v>
      </c>
      <c r="C31" s="10" t="s">
        <v>103</v>
      </c>
      <c r="D31" s="40"/>
      <c r="E31" s="10" t="s">
        <v>104</v>
      </c>
      <c r="F31" s="16" t="s">
        <v>22</v>
      </c>
      <c r="G31" s="10"/>
      <c r="H31" s="10"/>
      <c r="I31" s="10"/>
      <c r="J31" s="10"/>
      <c r="K31" s="10"/>
      <c r="L31" s="14" t="s">
        <v>31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5">
        <f t="shared" si="1"/>
        <v>4</v>
      </c>
      <c r="B32" s="10" t="s">
        <v>105</v>
      </c>
      <c r="C32" s="10" t="s">
        <v>106</v>
      </c>
      <c r="D32" s="40"/>
      <c r="E32" s="10" t="s">
        <v>104</v>
      </c>
      <c r="F32" s="10"/>
      <c r="G32" s="10"/>
      <c r="H32" s="10"/>
      <c r="I32" s="10"/>
      <c r="J32" s="10"/>
      <c r="K32" s="10"/>
      <c r="L32" s="14" t="s">
        <v>31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5">
        <f t="shared" si="1"/>
        <v>5</v>
      </c>
      <c r="B33" s="10" t="s">
        <v>107</v>
      </c>
      <c r="C33" s="16" t="s">
        <v>108</v>
      </c>
      <c r="D33" s="40"/>
      <c r="E33" s="10"/>
      <c r="F33" s="10"/>
      <c r="G33" s="10"/>
      <c r="H33" s="10"/>
      <c r="I33" s="10"/>
      <c r="J33" s="10"/>
      <c r="K33" s="10"/>
      <c r="L33" s="14" t="s">
        <v>31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5">
        <f t="shared" si="1"/>
        <v>6</v>
      </c>
      <c r="B34" s="10" t="s">
        <v>109</v>
      </c>
      <c r="C34" s="10" t="s">
        <v>110</v>
      </c>
      <c r="D34" s="40"/>
      <c r="E34" s="10" t="s">
        <v>104</v>
      </c>
      <c r="F34" s="10"/>
      <c r="G34" s="10"/>
      <c r="H34" s="10"/>
      <c r="I34" s="10"/>
      <c r="J34" s="10"/>
      <c r="K34" s="10"/>
      <c r="L34" s="14" t="s">
        <v>31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5">
        <f t="shared" si="1"/>
        <v>7</v>
      </c>
      <c r="B35" s="10" t="s">
        <v>111</v>
      </c>
      <c r="C35" s="16" t="s">
        <v>112</v>
      </c>
      <c r="D35" s="40"/>
      <c r="E35" s="10"/>
      <c r="F35" s="10"/>
      <c r="G35" s="10"/>
      <c r="H35" s="10"/>
      <c r="I35" s="10"/>
      <c r="J35" s="10"/>
      <c r="K35" s="10"/>
      <c r="L35" s="14" t="s">
        <v>31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5">
        <f t="shared" si="1"/>
        <v>8</v>
      </c>
      <c r="B36" s="10" t="s">
        <v>113</v>
      </c>
      <c r="C36" s="10" t="s">
        <v>114</v>
      </c>
      <c r="D36" s="40"/>
      <c r="E36" s="10"/>
      <c r="F36" s="10"/>
      <c r="G36" s="10"/>
      <c r="H36" s="10"/>
      <c r="I36" s="10"/>
      <c r="J36" s="10"/>
      <c r="K36" s="10"/>
      <c r="L36" s="14" t="s">
        <v>31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5">
        <f t="shared" si="1"/>
        <v>9</v>
      </c>
      <c r="B37" s="10" t="s">
        <v>115</v>
      </c>
      <c r="C37" s="10" t="s">
        <v>116</v>
      </c>
      <c r="D37" s="40"/>
      <c r="E37" s="10" t="s">
        <v>117</v>
      </c>
      <c r="F37" s="16" t="s">
        <v>22</v>
      </c>
      <c r="G37" s="10"/>
      <c r="H37" s="10"/>
      <c r="I37" s="10"/>
      <c r="J37" s="10"/>
      <c r="K37" s="10"/>
      <c r="L37" s="14" t="s">
        <v>31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5">
        <f t="shared" si="1"/>
        <v>10</v>
      </c>
      <c r="B38" s="10" t="s">
        <v>118</v>
      </c>
      <c r="C38" s="10" t="s">
        <v>119</v>
      </c>
      <c r="D38" s="10"/>
      <c r="E38" s="10" t="s">
        <v>120</v>
      </c>
      <c r="F38" s="10"/>
      <c r="G38" s="10"/>
      <c r="H38" s="10"/>
      <c r="I38" s="10"/>
      <c r="J38" s="10"/>
      <c r="K38" s="10"/>
      <c r="L38" s="14" t="s">
        <v>31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5">
        <f t="shared" si="1"/>
        <v>11</v>
      </c>
      <c r="B39" s="10" t="s">
        <v>121</v>
      </c>
      <c r="C39" s="10" t="s">
        <v>122</v>
      </c>
      <c r="D39" s="10"/>
      <c r="E39" s="10" t="s">
        <v>31</v>
      </c>
      <c r="F39" s="10"/>
      <c r="G39" s="10"/>
      <c r="H39" s="38"/>
      <c r="I39" s="38"/>
      <c r="J39" s="38"/>
      <c r="K39" s="38"/>
      <c r="L39" s="14" t="s">
        <v>31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5">
        <f t="shared" si="1"/>
        <v>12</v>
      </c>
      <c r="B40" s="10" t="s">
        <v>123</v>
      </c>
      <c r="C40" s="10" t="s">
        <v>124</v>
      </c>
      <c r="D40" s="10"/>
      <c r="E40" s="10" t="s">
        <v>125</v>
      </c>
      <c r="F40" s="16" t="s">
        <v>22</v>
      </c>
      <c r="G40" s="10"/>
      <c r="H40" s="38"/>
      <c r="I40" s="38"/>
      <c r="J40" s="38"/>
      <c r="K40" s="38"/>
      <c r="L40" s="14" t="s">
        <v>31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5">
        <f t="shared" si="1"/>
        <v>13</v>
      </c>
      <c r="B41" s="10" t="s">
        <v>126</v>
      </c>
      <c r="C41" s="10" t="s">
        <v>127</v>
      </c>
      <c r="D41" s="10"/>
      <c r="E41" s="10" t="s">
        <v>128</v>
      </c>
      <c r="F41" s="16" t="s">
        <v>22</v>
      </c>
      <c r="G41" s="10"/>
      <c r="H41" s="38"/>
      <c r="I41" s="38"/>
      <c r="J41" s="38"/>
      <c r="K41" s="38"/>
      <c r="L41" s="10" t="s">
        <v>31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5">
        <f t="shared" si="1"/>
        <v>14</v>
      </c>
      <c r="B42" s="10" t="s">
        <v>126</v>
      </c>
      <c r="C42" s="10" t="s">
        <v>129</v>
      </c>
      <c r="D42" s="10"/>
      <c r="E42" s="10" t="s">
        <v>130</v>
      </c>
      <c r="F42" s="16" t="s">
        <v>22</v>
      </c>
      <c r="G42" s="10"/>
      <c r="H42" s="10"/>
      <c r="I42" s="10"/>
      <c r="J42" s="10"/>
      <c r="K42" s="10"/>
      <c r="L42" s="10" t="s">
        <v>31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5">
        <f t="shared" si="1"/>
        <v>15</v>
      </c>
      <c r="B43" s="10" t="s">
        <v>126</v>
      </c>
      <c r="C43" s="10" t="s">
        <v>131</v>
      </c>
      <c r="D43" s="10"/>
      <c r="E43" s="10" t="s">
        <v>132</v>
      </c>
      <c r="F43" s="16" t="s">
        <v>22</v>
      </c>
      <c r="G43" s="16" t="s">
        <v>25</v>
      </c>
      <c r="H43" s="16" t="s">
        <v>133</v>
      </c>
      <c r="I43" s="10"/>
      <c r="J43" s="10"/>
      <c r="K43" s="10"/>
      <c r="L43" s="10" t="s">
        <v>31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5">
        <f t="shared" si="1"/>
        <v>16</v>
      </c>
      <c r="B44" s="10" t="s">
        <v>126</v>
      </c>
      <c r="C44" s="10" t="s">
        <v>134</v>
      </c>
      <c r="D44" s="10" t="s">
        <v>135</v>
      </c>
      <c r="E44" s="10" t="s">
        <v>136</v>
      </c>
      <c r="F44" s="16" t="s">
        <v>22</v>
      </c>
      <c r="G44" s="16" t="s">
        <v>25</v>
      </c>
      <c r="H44" s="16" t="s">
        <v>42</v>
      </c>
      <c r="I44" s="10"/>
      <c r="J44" s="10"/>
      <c r="K44" s="10"/>
      <c r="L44" s="10" t="s">
        <v>31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5">
        <f t="shared" si="1"/>
        <v>17</v>
      </c>
      <c r="B45" s="10" t="s">
        <v>126</v>
      </c>
      <c r="C45" s="10" t="s">
        <v>137</v>
      </c>
      <c r="D45" s="10"/>
      <c r="E45" s="10" t="s">
        <v>138</v>
      </c>
      <c r="F45" s="10"/>
      <c r="G45" s="10"/>
      <c r="H45" s="10"/>
      <c r="I45" s="10"/>
      <c r="J45" s="10"/>
      <c r="K45" s="10"/>
      <c r="L45" s="10" t="s">
        <v>31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5">
        <f t="shared" si="1"/>
        <v>18</v>
      </c>
      <c r="B46" s="10" t="s">
        <v>139</v>
      </c>
      <c r="C46" s="10" t="s">
        <v>140</v>
      </c>
      <c r="D46" s="10"/>
      <c r="E46" s="10" t="s">
        <v>141</v>
      </c>
      <c r="F46" s="16" t="s">
        <v>22</v>
      </c>
      <c r="G46" s="10"/>
      <c r="H46" s="10"/>
      <c r="I46" s="10"/>
      <c r="J46" s="10"/>
      <c r="K46" s="10"/>
      <c r="L46" s="10" t="s">
        <v>31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5">
        <f t="shared" si="1"/>
        <v>19</v>
      </c>
      <c r="B47" s="10" t="s">
        <v>142</v>
      </c>
      <c r="C47" s="10" t="s">
        <v>143</v>
      </c>
      <c r="D47" s="10"/>
      <c r="E47" s="10" t="s">
        <v>31</v>
      </c>
      <c r="F47" s="10"/>
      <c r="G47" s="10"/>
      <c r="H47" s="10"/>
      <c r="I47" s="10"/>
      <c r="J47" s="10"/>
      <c r="K47" s="10"/>
      <c r="L47" s="10" t="s">
        <v>31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5">
        <f t="shared" si="1"/>
        <v>20</v>
      </c>
      <c r="B48" s="10" t="s">
        <v>144</v>
      </c>
      <c r="C48" s="10" t="s">
        <v>145</v>
      </c>
      <c r="D48" s="10"/>
      <c r="E48" s="10" t="s">
        <v>31</v>
      </c>
      <c r="F48" s="10"/>
      <c r="G48" s="10"/>
      <c r="H48" s="10"/>
      <c r="I48" s="10"/>
      <c r="J48" s="10"/>
      <c r="K48" s="10"/>
      <c r="L48" s="10" t="s">
        <v>31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5">
        <f t="shared" si="1"/>
        <v>21</v>
      </c>
      <c r="B49" s="10" t="s">
        <v>146</v>
      </c>
      <c r="C49" s="10" t="s">
        <v>147</v>
      </c>
      <c r="D49" s="10"/>
      <c r="E49" s="10" t="s">
        <v>31</v>
      </c>
      <c r="F49" s="16" t="s">
        <v>22</v>
      </c>
      <c r="G49" s="10"/>
      <c r="H49" s="10"/>
      <c r="I49" s="10"/>
      <c r="J49" s="10"/>
      <c r="K49" s="10"/>
      <c r="L49" s="10" t="s">
        <v>31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5">
        <f t="shared" si="1"/>
        <v>22</v>
      </c>
      <c r="B50" s="10" t="s">
        <v>148</v>
      </c>
      <c r="C50" s="10" t="s">
        <v>149</v>
      </c>
      <c r="D50" s="10"/>
      <c r="E50" s="10" t="s">
        <v>150</v>
      </c>
      <c r="F50" s="44" t="s">
        <v>22</v>
      </c>
      <c r="G50" s="45" t="s">
        <v>151</v>
      </c>
      <c r="H50" s="44" t="s">
        <v>42</v>
      </c>
      <c r="I50" s="10"/>
      <c r="J50" s="10"/>
      <c r="K50" s="10"/>
      <c r="L50" s="10" t="s">
        <v>31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5">
        <f t="shared" si="1"/>
        <v>23</v>
      </c>
      <c r="B51" s="10" t="s">
        <v>152</v>
      </c>
      <c r="C51" s="10" t="s">
        <v>153</v>
      </c>
      <c r="D51" s="10"/>
      <c r="E51" s="10" t="s">
        <v>154</v>
      </c>
      <c r="F51" s="45" t="s">
        <v>22</v>
      </c>
      <c r="G51" s="46"/>
      <c r="H51" s="46"/>
      <c r="I51" s="10"/>
      <c r="J51" s="10"/>
      <c r="K51" s="10"/>
      <c r="L51" s="10" t="s">
        <v>31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5">
        <f t="shared" si="1"/>
        <v>24</v>
      </c>
      <c r="B52" s="10" t="s">
        <v>155</v>
      </c>
      <c r="C52" s="10" t="s">
        <v>156</v>
      </c>
      <c r="D52" s="10"/>
      <c r="E52" s="10" t="s">
        <v>157</v>
      </c>
      <c r="F52" s="45" t="s">
        <v>22</v>
      </c>
      <c r="G52" s="46"/>
      <c r="H52" s="46"/>
      <c r="I52" s="10"/>
      <c r="J52" s="10"/>
      <c r="K52" s="10"/>
      <c r="L52" s="10" t="s">
        <v>31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5">
        <f t="shared" si="1"/>
        <v>25</v>
      </c>
      <c r="B53" s="10" t="s">
        <v>158</v>
      </c>
      <c r="C53" s="10" t="s">
        <v>159</v>
      </c>
      <c r="D53" s="10"/>
      <c r="E53" s="10" t="s">
        <v>160</v>
      </c>
      <c r="F53" s="16" t="s">
        <v>22</v>
      </c>
      <c r="G53" s="10"/>
      <c r="H53" s="10"/>
      <c r="I53" s="10"/>
      <c r="J53" s="10"/>
      <c r="K53" s="10"/>
      <c r="L53" s="10" t="s">
        <v>31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5">
        <f t="shared" si="1"/>
        <v>26</v>
      </c>
      <c r="B54" s="10" t="s">
        <v>161</v>
      </c>
      <c r="C54" s="10" t="s">
        <v>162</v>
      </c>
      <c r="D54" s="10"/>
      <c r="E54" s="10" t="s">
        <v>163</v>
      </c>
      <c r="F54" s="16" t="s">
        <v>22</v>
      </c>
      <c r="G54" s="16" t="s">
        <v>25</v>
      </c>
      <c r="H54" s="16" t="s">
        <v>42</v>
      </c>
      <c r="I54" s="10"/>
      <c r="J54" s="10"/>
      <c r="K54" s="10"/>
      <c r="L54" s="10" t="s">
        <v>31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5">
        <f t="shared" si="1"/>
        <v>27</v>
      </c>
      <c r="B55" s="10" t="s">
        <v>164</v>
      </c>
      <c r="C55" s="10" t="s">
        <v>165</v>
      </c>
      <c r="D55" s="10"/>
      <c r="E55" s="10" t="s">
        <v>166</v>
      </c>
      <c r="F55" s="16" t="s">
        <v>3</v>
      </c>
      <c r="G55" s="16" t="s">
        <v>167</v>
      </c>
      <c r="H55" s="10"/>
      <c r="I55" s="10"/>
      <c r="J55" s="10"/>
      <c r="K55" s="10"/>
      <c r="L55" s="10" t="s">
        <v>168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5">
        <f t="shared" si="1"/>
        <v>28</v>
      </c>
      <c r="B56" s="10" t="s">
        <v>164</v>
      </c>
      <c r="C56" s="10" t="s">
        <v>169</v>
      </c>
      <c r="D56" s="10"/>
      <c r="E56" s="16" t="s">
        <v>170</v>
      </c>
      <c r="F56" s="16" t="s">
        <v>42</v>
      </c>
      <c r="G56" s="16" t="s">
        <v>171</v>
      </c>
      <c r="H56" s="10"/>
      <c r="I56" s="10"/>
      <c r="J56" s="10"/>
      <c r="K56" s="16" t="s">
        <v>172</v>
      </c>
      <c r="L56" s="10" t="s">
        <v>168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5">
        <f t="shared" si="1"/>
        <v>29</v>
      </c>
      <c r="B57" s="10" t="s">
        <v>173</v>
      </c>
      <c r="C57" s="10" t="s">
        <v>174</v>
      </c>
      <c r="D57" s="10"/>
      <c r="E57" s="10" t="s">
        <v>35</v>
      </c>
      <c r="F57" s="16" t="s">
        <v>42</v>
      </c>
      <c r="G57" s="16" t="s">
        <v>171</v>
      </c>
      <c r="H57" s="16" t="s">
        <v>172</v>
      </c>
      <c r="I57" s="10"/>
      <c r="J57" s="10"/>
      <c r="K57" s="10"/>
      <c r="L57" s="10" t="s">
        <v>168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5">
        <f t="shared" si="1"/>
        <v>30</v>
      </c>
      <c r="B58" s="10" t="s">
        <v>175</v>
      </c>
      <c r="C58" s="10" t="s">
        <v>176</v>
      </c>
      <c r="D58" s="10"/>
      <c r="E58" s="10" t="s">
        <v>177</v>
      </c>
      <c r="F58" s="16" t="s">
        <v>42</v>
      </c>
      <c r="G58" s="16" t="s">
        <v>171</v>
      </c>
      <c r="H58" s="16" t="s">
        <v>172</v>
      </c>
      <c r="I58" s="16" t="s">
        <v>172</v>
      </c>
      <c r="J58" s="16" t="s">
        <v>172</v>
      </c>
      <c r="K58" s="16" t="s">
        <v>172</v>
      </c>
      <c r="L58" s="10" t="s">
        <v>168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5">
        <f t="shared" si="1"/>
        <v>31</v>
      </c>
      <c r="B59" s="10" t="s">
        <v>175</v>
      </c>
      <c r="C59" s="10" t="s">
        <v>178</v>
      </c>
      <c r="D59" s="10"/>
      <c r="E59" s="10" t="s">
        <v>179</v>
      </c>
      <c r="F59" s="16" t="s">
        <v>42</v>
      </c>
      <c r="G59" s="16" t="s">
        <v>171</v>
      </c>
      <c r="H59" s="16" t="s">
        <v>172</v>
      </c>
      <c r="I59" s="16" t="s">
        <v>172</v>
      </c>
      <c r="J59" s="16" t="s">
        <v>172</v>
      </c>
      <c r="K59" s="16" t="s">
        <v>172</v>
      </c>
      <c r="L59" s="10" t="s">
        <v>168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5">
        <f t="shared" si="1"/>
        <v>32</v>
      </c>
      <c r="B60" s="10" t="s">
        <v>175</v>
      </c>
      <c r="C60" s="10" t="s">
        <v>180</v>
      </c>
      <c r="D60" s="10"/>
      <c r="E60" s="10" t="s">
        <v>181</v>
      </c>
      <c r="F60" s="16" t="s">
        <v>42</v>
      </c>
      <c r="G60" s="16" t="s">
        <v>171</v>
      </c>
      <c r="H60" s="16" t="s">
        <v>172</v>
      </c>
      <c r="I60" s="16" t="s">
        <v>172</v>
      </c>
      <c r="J60" s="16" t="s">
        <v>172</v>
      </c>
      <c r="K60" s="16" t="s">
        <v>172</v>
      </c>
      <c r="L60" s="10" t="s">
        <v>168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5">
        <f t="shared" si="1"/>
        <v>33</v>
      </c>
      <c r="B61" s="10" t="s">
        <v>175</v>
      </c>
      <c r="C61" s="10" t="s">
        <v>182</v>
      </c>
      <c r="D61" s="10"/>
      <c r="E61" s="10" t="s">
        <v>183</v>
      </c>
      <c r="F61" s="16" t="s">
        <v>3</v>
      </c>
      <c r="G61" s="16" t="s">
        <v>167</v>
      </c>
      <c r="H61" s="10"/>
      <c r="I61" s="10"/>
      <c r="J61" s="10"/>
      <c r="K61" s="10"/>
      <c r="L61" s="10" t="s">
        <v>168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5">
        <f t="shared" si="1"/>
        <v>34</v>
      </c>
      <c r="B62" s="10" t="s">
        <v>184</v>
      </c>
      <c r="C62" s="10" t="s">
        <v>185</v>
      </c>
      <c r="D62" s="10"/>
      <c r="E62" s="10" t="s">
        <v>186</v>
      </c>
      <c r="F62" s="16" t="s">
        <v>3</v>
      </c>
      <c r="G62" s="16" t="s">
        <v>187</v>
      </c>
      <c r="H62" s="10"/>
      <c r="I62" s="10"/>
      <c r="J62" s="10"/>
      <c r="K62" s="10"/>
      <c r="L62" s="10" t="s">
        <v>168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5">
        <f t="shared" si="1"/>
        <v>35</v>
      </c>
      <c r="B63" s="10" t="s">
        <v>188</v>
      </c>
      <c r="C63" s="10" t="s">
        <v>189</v>
      </c>
      <c r="D63" s="10"/>
      <c r="E63" s="10" t="s">
        <v>190</v>
      </c>
      <c r="F63" s="16" t="s">
        <v>22</v>
      </c>
      <c r="G63" s="16"/>
      <c r="H63" s="10"/>
      <c r="I63" s="10"/>
      <c r="J63" s="10"/>
      <c r="K63" s="10"/>
      <c r="L63" s="10" t="s">
        <v>168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5">
        <f t="shared" si="1"/>
        <v>36</v>
      </c>
      <c r="B64" s="10" t="s">
        <v>191</v>
      </c>
      <c r="C64" s="10" t="s">
        <v>192</v>
      </c>
      <c r="D64" s="10"/>
      <c r="E64" s="10" t="s">
        <v>190</v>
      </c>
      <c r="F64" s="16" t="s">
        <v>22</v>
      </c>
      <c r="G64" s="16"/>
      <c r="H64" s="10"/>
      <c r="I64" s="10"/>
      <c r="J64" s="10"/>
      <c r="K64" s="10"/>
      <c r="L64" s="10" t="s">
        <v>168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5">
        <f t="shared" si="1"/>
        <v>37</v>
      </c>
      <c r="B65" s="10" t="s">
        <v>193</v>
      </c>
      <c r="C65" s="10" t="s">
        <v>194</v>
      </c>
      <c r="D65" s="10"/>
      <c r="E65" s="10" t="s">
        <v>195</v>
      </c>
      <c r="F65" s="16" t="s">
        <v>42</v>
      </c>
      <c r="G65" s="16" t="s">
        <v>171</v>
      </c>
      <c r="H65" s="16" t="s">
        <v>42</v>
      </c>
      <c r="I65" s="10"/>
      <c r="J65" s="10"/>
      <c r="K65" s="10"/>
      <c r="L65" s="10" t="s">
        <v>168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5">
        <f t="shared" si="1"/>
        <v>38</v>
      </c>
      <c r="B66" s="10" t="s">
        <v>196</v>
      </c>
      <c r="C66" s="10" t="s">
        <v>197</v>
      </c>
      <c r="D66" s="10"/>
      <c r="E66" s="10" t="s">
        <v>198</v>
      </c>
      <c r="F66" s="16" t="s">
        <v>42</v>
      </c>
      <c r="G66" s="16" t="s">
        <v>171</v>
      </c>
      <c r="H66" s="16" t="s">
        <v>42</v>
      </c>
      <c r="I66" s="10"/>
      <c r="J66" s="10"/>
      <c r="K66" s="10"/>
      <c r="L66" s="10" t="s">
        <v>168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5">
        <f t="shared" si="1"/>
        <v>39</v>
      </c>
      <c r="B67" s="10" t="s">
        <v>199</v>
      </c>
      <c r="C67" s="10" t="s">
        <v>200</v>
      </c>
      <c r="D67" s="10"/>
      <c r="E67" s="10"/>
      <c r="F67" s="10"/>
      <c r="G67" s="10"/>
      <c r="H67" s="10"/>
      <c r="I67" s="10"/>
      <c r="J67" s="10"/>
      <c r="K67" s="10"/>
      <c r="L67" s="10" t="s">
        <v>168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5">
        <f t="shared" si="1"/>
        <v>40</v>
      </c>
      <c r="B68" s="10" t="s">
        <v>199</v>
      </c>
      <c r="C68" s="10" t="s">
        <v>201</v>
      </c>
      <c r="D68" s="10"/>
      <c r="E68" s="10"/>
      <c r="F68" s="10"/>
      <c r="G68" s="10"/>
      <c r="H68" s="10"/>
      <c r="I68" s="10"/>
      <c r="J68" s="10"/>
      <c r="K68" s="10"/>
      <c r="L68" s="10" t="s">
        <v>168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5">
        <f t="shared" si="1"/>
        <v>41</v>
      </c>
      <c r="B69" s="10" t="s">
        <v>199</v>
      </c>
      <c r="C69" s="10" t="s">
        <v>202</v>
      </c>
      <c r="D69" s="10"/>
      <c r="E69" s="10"/>
      <c r="F69" s="10"/>
      <c r="G69" s="10"/>
      <c r="H69" s="10"/>
      <c r="I69" s="10"/>
      <c r="J69" s="10"/>
      <c r="K69" s="10"/>
      <c r="L69" s="10" t="s">
        <v>168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5">
        <f t="shared" si="1"/>
        <v>42</v>
      </c>
      <c r="B70" s="10" t="s">
        <v>199</v>
      </c>
      <c r="C70" s="10" t="s">
        <v>203</v>
      </c>
      <c r="D70" s="10"/>
      <c r="E70" s="10"/>
      <c r="F70" s="10"/>
      <c r="G70" s="10"/>
      <c r="H70" s="10"/>
      <c r="I70" s="10"/>
      <c r="J70" s="10"/>
      <c r="K70" s="10"/>
      <c r="L70" s="10" t="s">
        <v>168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5">
        <f t="shared" si="1"/>
        <v>43</v>
      </c>
      <c r="B71" s="10" t="s">
        <v>199</v>
      </c>
      <c r="C71" s="10" t="s">
        <v>204</v>
      </c>
      <c r="D71" s="10"/>
      <c r="E71" s="10"/>
      <c r="F71" s="10"/>
      <c r="G71" s="10"/>
      <c r="H71" s="10"/>
      <c r="I71" s="10"/>
      <c r="J71" s="10"/>
      <c r="K71" s="10"/>
      <c r="L71" s="10" t="s">
        <v>168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5">
        <f t="shared" si="1"/>
        <v>44</v>
      </c>
      <c r="B72" s="10" t="s">
        <v>199</v>
      </c>
      <c r="C72" s="10" t="s">
        <v>205</v>
      </c>
      <c r="D72" s="10"/>
      <c r="E72" s="10"/>
      <c r="F72" s="10"/>
      <c r="G72" s="10"/>
      <c r="H72" s="10"/>
      <c r="I72" s="10"/>
      <c r="J72" s="10"/>
      <c r="K72" s="10"/>
      <c r="L72" s="10" t="s">
        <v>168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5">
        <f t="shared" si="1"/>
        <v>45</v>
      </c>
      <c r="B73" s="10" t="s">
        <v>199</v>
      </c>
      <c r="C73" s="10" t="s">
        <v>206</v>
      </c>
      <c r="D73" s="10"/>
      <c r="E73" s="10"/>
      <c r="F73" s="10"/>
      <c r="G73" s="10"/>
      <c r="H73" s="10"/>
      <c r="I73" s="10"/>
      <c r="J73" s="10"/>
      <c r="K73" s="10"/>
      <c r="L73" s="10" t="s">
        <v>168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5">
        <f t="shared" si="1"/>
        <v>46</v>
      </c>
      <c r="B74" s="10" t="s">
        <v>199</v>
      </c>
      <c r="C74" s="10" t="s">
        <v>207</v>
      </c>
      <c r="D74" s="10"/>
      <c r="E74" s="10"/>
      <c r="F74" s="10"/>
      <c r="G74" s="10"/>
      <c r="H74" s="10"/>
      <c r="I74" s="10"/>
      <c r="J74" s="10"/>
      <c r="K74" s="10"/>
      <c r="L74" s="10" t="s">
        <v>168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5">
        <f t="shared" si="1"/>
        <v>47</v>
      </c>
      <c r="B75" s="10" t="s">
        <v>199</v>
      </c>
      <c r="C75" s="10" t="s">
        <v>208</v>
      </c>
      <c r="D75" s="10"/>
      <c r="E75" s="10"/>
      <c r="F75" s="10"/>
      <c r="G75" s="10"/>
      <c r="H75" s="10"/>
      <c r="I75" s="10"/>
      <c r="J75" s="10"/>
      <c r="K75" s="10"/>
      <c r="L75" s="10" t="s">
        <v>168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5">
        <f t="shared" si="1"/>
        <v>48</v>
      </c>
      <c r="B76" s="10" t="s">
        <v>209</v>
      </c>
      <c r="C76" s="10" t="s">
        <v>210</v>
      </c>
      <c r="D76" s="10"/>
      <c r="E76" s="10" t="s">
        <v>211</v>
      </c>
      <c r="F76" s="16" t="s">
        <v>42</v>
      </c>
      <c r="G76" s="16" t="s">
        <v>171</v>
      </c>
      <c r="H76" s="16" t="s">
        <v>42</v>
      </c>
      <c r="I76" s="16" t="s">
        <v>212</v>
      </c>
      <c r="J76" s="16" t="s">
        <v>212</v>
      </c>
      <c r="K76" s="16" t="s">
        <v>212</v>
      </c>
      <c r="L76" s="10" t="s">
        <v>168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5">
        <f t="shared" si="1"/>
        <v>49</v>
      </c>
      <c r="B77" s="10" t="s">
        <v>213</v>
      </c>
      <c r="C77" s="10" t="s">
        <v>214</v>
      </c>
      <c r="D77" s="10"/>
      <c r="E77" s="10" t="s">
        <v>215</v>
      </c>
      <c r="F77" s="16" t="s">
        <v>42</v>
      </c>
      <c r="G77" s="16" t="s">
        <v>171</v>
      </c>
      <c r="H77" s="16" t="s">
        <v>42</v>
      </c>
      <c r="I77" s="16" t="s">
        <v>212</v>
      </c>
      <c r="J77" s="16" t="s">
        <v>212</v>
      </c>
      <c r="K77" s="16" t="s">
        <v>212</v>
      </c>
      <c r="L77" s="10" t="s">
        <v>168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5">
        <f t="shared" si="1"/>
        <v>50</v>
      </c>
      <c r="B78" s="10" t="s">
        <v>216</v>
      </c>
      <c r="C78" s="10" t="s">
        <v>217</v>
      </c>
      <c r="D78" s="10"/>
      <c r="E78" s="10" t="s">
        <v>218</v>
      </c>
      <c r="F78" s="16" t="s">
        <v>42</v>
      </c>
      <c r="G78" s="16" t="s">
        <v>171</v>
      </c>
      <c r="H78" s="16" t="s">
        <v>42</v>
      </c>
      <c r="I78" s="16" t="s">
        <v>212</v>
      </c>
      <c r="J78" s="16" t="s">
        <v>212</v>
      </c>
      <c r="K78" s="16" t="s">
        <v>212</v>
      </c>
      <c r="L78" s="10" t="s">
        <v>168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5">
        <f t="shared" si="1"/>
        <v>51</v>
      </c>
      <c r="B79" s="10" t="s">
        <v>219</v>
      </c>
      <c r="C79" s="10" t="s">
        <v>220</v>
      </c>
      <c r="D79" s="10"/>
      <c r="E79" s="10" t="s">
        <v>221</v>
      </c>
      <c r="F79" s="16" t="s">
        <v>3</v>
      </c>
      <c r="G79" s="16" t="s">
        <v>167</v>
      </c>
      <c r="H79" s="10"/>
      <c r="I79" s="10"/>
      <c r="J79" s="10"/>
      <c r="K79" s="10"/>
      <c r="L79" s="10" t="s">
        <v>168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5">
        <f t="shared" si="1"/>
        <v>52</v>
      </c>
      <c r="B80" s="10" t="s">
        <v>222</v>
      </c>
      <c r="C80" s="10" t="s">
        <v>223</v>
      </c>
      <c r="D80" s="10"/>
      <c r="E80" s="10" t="s">
        <v>224</v>
      </c>
      <c r="F80" s="16" t="s">
        <v>3</v>
      </c>
      <c r="G80" s="16" t="s">
        <v>167</v>
      </c>
      <c r="H80" s="16" t="s">
        <v>42</v>
      </c>
      <c r="I80" s="10"/>
      <c r="J80" s="10"/>
      <c r="K80" s="10"/>
      <c r="L80" s="10" t="s">
        <v>168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5">
        <f t="shared" si="1"/>
        <v>53</v>
      </c>
      <c r="B81" s="10" t="s">
        <v>225</v>
      </c>
      <c r="C81" s="10" t="s">
        <v>226</v>
      </c>
      <c r="D81" s="10"/>
      <c r="E81" s="10" t="s">
        <v>227</v>
      </c>
      <c r="F81" s="16" t="s">
        <v>42</v>
      </c>
      <c r="G81" s="16" t="s">
        <v>171</v>
      </c>
      <c r="H81" s="16" t="s">
        <v>42</v>
      </c>
      <c r="I81" s="10"/>
      <c r="J81" s="10"/>
      <c r="K81" s="10"/>
      <c r="L81" s="10" t="s">
        <v>168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5">
        <f t="shared" si="1"/>
        <v>54</v>
      </c>
      <c r="B82" s="10" t="s">
        <v>228</v>
      </c>
      <c r="C82" s="10" t="s">
        <v>229</v>
      </c>
      <c r="D82" s="10"/>
      <c r="E82" s="10" t="s">
        <v>230</v>
      </c>
      <c r="F82" s="16" t="s">
        <v>3</v>
      </c>
      <c r="G82" s="16" t="s">
        <v>187</v>
      </c>
      <c r="H82" s="10"/>
      <c r="I82" s="10"/>
      <c r="J82" s="10"/>
      <c r="K82" s="10"/>
      <c r="L82" s="10" t="s">
        <v>168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5">
        <f t="shared" si="1"/>
        <v>55</v>
      </c>
      <c r="B83" s="10" t="s">
        <v>231</v>
      </c>
      <c r="C83" s="10" t="s">
        <v>232</v>
      </c>
      <c r="D83" s="10"/>
      <c r="E83" s="10" t="s">
        <v>233</v>
      </c>
      <c r="F83" s="16" t="s">
        <v>42</v>
      </c>
      <c r="G83" s="16" t="s">
        <v>171</v>
      </c>
      <c r="H83" s="16" t="s">
        <v>42</v>
      </c>
      <c r="I83" s="10"/>
      <c r="J83" s="10"/>
      <c r="K83" s="10"/>
      <c r="L83" s="10" t="s">
        <v>168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2" t="s">
        <v>234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 t="s">
        <v>3</v>
      </c>
      <c r="B85" s="7" t="s">
        <v>4</v>
      </c>
      <c r="C85" s="7" t="s">
        <v>5</v>
      </c>
      <c r="D85" s="7" t="s">
        <v>6</v>
      </c>
      <c r="E85" s="8" t="s">
        <v>7</v>
      </c>
      <c r="F85" s="8" t="s">
        <v>8</v>
      </c>
      <c r="G85" s="8" t="s">
        <v>9</v>
      </c>
      <c r="H85" s="8" t="s">
        <v>10</v>
      </c>
      <c r="I85" s="8" t="s">
        <v>11</v>
      </c>
      <c r="J85" s="8" t="s">
        <v>12</v>
      </c>
      <c r="K85" s="8" t="s">
        <v>13</v>
      </c>
      <c r="L85" s="8" t="s">
        <v>14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5">
        <f>+A83+1</f>
        <v>56</v>
      </c>
      <c r="B86" s="10" t="s">
        <v>235</v>
      </c>
      <c r="C86" s="10" t="s">
        <v>236</v>
      </c>
      <c r="D86" s="10"/>
      <c r="E86" s="10" t="s">
        <v>237</v>
      </c>
      <c r="F86" s="16" t="s">
        <v>3</v>
      </c>
      <c r="G86" s="16" t="s">
        <v>167</v>
      </c>
      <c r="H86" s="10"/>
      <c r="I86" s="10"/>
      <c r="J86" s="10"/>
      <c r="K86" s="10"/>
      <c r="L86" s="47" t="s">
        <v>168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5">
        <f>+A86+1</f>
        <v>57</v>
      </c>
      <c r="B87" s="10" t="s">
        <v>235</v>
      </c>
      <c r="C87" s="10" t="s">
        <v>238</v>
      </c>
      <c r="D87" s="10"/>
      <c r="E87" s="10" t="s">
        <v>239</v>
      </c>
      <c r="F87" s="16" t="s">
        <v>42</v>
      </c>
      <c r="G87" s="16" t="s">
        <v>171</v>
      </c>
      <c r="H87" s="16" t="s">
        <v>42</v>
      </c>
      <c r="I87" s="10"/>
      <c r="J87" s="10"/>
      <c r="K87" s="10"/>
      <c r="L87" s="47" t="s">
        <v>168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9"/>
      <c r="B88" s="16" t="s">
        <v>240</v>
      </c>
      <c r="C88" s="16" t="s">
        <v>241</v>
      </c>
      <c r="D88" s="10"/>
      <c r="E88" s="10"/>
      <c r="F88" s="16" t="s">
        <v>42</v>
      </c>
      <c r="G88" s="16" t="s">
        <v>171</v>
      </c>
      <c r="H88" s="16" t="s">
        <v>42</v>
      </c>
      <c r="I88" s="10"/>
      <c r="J88" s="10"/>
      <c r="K88" s="10"/>
      <c r="L88" s="4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5">
        <f>+A87+1</f>
        <v>58</v>
      </c>
      <c r="B89" s="10" t="s">
        <v>235</v>
      </c>
      <c r="C89" s="10" t="s">
        <v>242</v>
      </c>
      <c r="D89" s="10"/>
      <c r="E89" s="10" t="s">
        <v>243</v>
      </c>
      <c r="F89" s="16" t="s">
        <v>42</v>
      </c>
      <c r="G89" s="16" t="s">
        <v>171</v>
      </c>
      <c r="H89" s="16" t="s">
        <v>42</v>
      </c>
      <c r="I89" s="10"/>
      <c r="J89" s="10"/>
      <c r="K89" s="10"/>
      <c r="L89" s="47" t="s">
        <v>168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5">
        <f t="shared" ref="A90:A91" si="2">+A89+1</f>
        <v>59</v>
      </c>
      <c r="B90" s="10" t="s">
        <v>235</v>
      </c>
      <c r="C90" s="10" t="s">
        <v>244</v>
      </c>
      <c r="D90" s="10"/>
      <c r="E90" s="10" t="s">
        <v>245</v>
      </c>
      <c r="F90" s="16" t="s">
        <v>42</v>
      </c>
      <c r="G90" s="16" t="s">
        <v>171</v>
      </c>
      <c r="H90" s="16" t="s">
        <v>42</v>
      </c>
      <c r="I90" s="10"/>
      <c r="J90" s="10"/>
      <c r="K90" s="10"/>
      <c r="L90" s="47" t="s">
        <v>168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5">
        <f t="shared" si="2"/>
        <v>60</v>
      </c>
      <c r="B91" s="10" t="s">
        <v>235</v>
      </c>
      <c r="C91" s="10" t="s">
        <v>246</v>
      </c>
      <c r="D91" s="10" t="s">
        <v>247</v>
      </c>
      <c r="E91" s="10" t="s">
        <v>248</v>
      </c>
      <c r="F91" s="16" t="s">
        <v>42</v>
      </c>
      <c r="G91" s="16" t="s">
        <v>171</v>
      </c>
      <c r="H91" s="16" t="s">
        <v>42</v>
      </c>
      <c r="I91" s="10"/>
      <c r="J91" s="10"/>
      <c r="K91" s="10"/>
      <c r="L91" s="47" t="s">
        <v>168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5">
        <f>+A89+1</f>
        <v>59</v>
      </c>
      <c r="B92" s="10" t="s">
        <v>235</v>
      </c>
      <c r="C92" s="10" t="s">
        <v>249</v>
      </c>
      <c r="D92" s="10" t="s">
        <v>250</v>
      </c>
      <c r="E92" s="10" t="s">
        <v>248</v>
      </c>
      <c r="F92" s="16" t="s">
        <v>42</v>
      </c>
      <c r="G92" s="16" t="s">
        <v>171</v>
      </c>
      <c r="H92" s="16" t="s">
        <v>42</v>
      </c>
      <c r="I92" s="10"/>
      <c r="J92" s="10"/>
      <c r="K92" s="10"/>
      <c r="L92" s="47" t="s">
        <v>168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5">
        <f t="shared" ref="A93:A96" si="3">+A92+1</f>
        <v>60</v>
      </c>
      <c r="B93" s="10" t="s">
        <v>235</v>
      </c>
      <c r="C93" s="10" t="s">
        <v>251</v>
      </c>
      <c r="D93" s="10" t="s">
        <v>252</v>
      </c>
      <c r="E93" s="10" t="s">
        <v>253</v>
      </c>
      <c r="F93" s="16" t="s">
        <v>42</v>
      </c>
      <c r="G93" s="16" t="s">
        <v>171</v>
      </c>
      <c r="H93" s="16" t="s">
        <v>42</v>
      </c>
      <c r="I93" s="10"/>
      <c r="J93" s="10"/>
      <c r="K93" s="10"/>
      <c r="L93" s="47" t="s">
        <v>168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5">
        <f t="shared" si="3"/>
        <v>61</v>
      </c>
      <c r="B94" s="10" t="s">
        <v>235</v>
      </c>
      <c r="C94" s="10" t="s">
        <v>254</v>
      </c>
      <c r="D94" s="10"/>
      <c r="E94" s="10" t="s">
        <v>255</v>
      </c>
      <c r="F94" s="16" t="s">
        <v>42</v>
      </c>
      <c r="G94" s="16" t="s">
        <v>256</v>
      </c>
      <c r="H94" s="16"/>
      <c r="I94" s="10"/>
      <c r="J94" s="10"/>
      <c r="K94" s="10"/>
      <c r="L94" s="47" t="s">
        <v>168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5">
        <f t="shared" si="3"/>
        <v>62</v>
      </c>
      <c r="B95" s="10" t="s">
        <v>257</v>
      </c>
      <c r="C95" s="10" t="s">
        <v>258</v>
      </c>
      <c r="D95" s="10" t="s">
        <v>259</v>
      </c>
      <c r="E95" s="10" t="s">
        <v>260</v>
      </c>
      <c r="F95" s="16" t="s">
        <v>42</v>
      </c>
      <c r="G95" s="16" t="s">
        <v>171</v>
      </c>
      <c r="H95" s="16" t="s">
        <v>42</v>
      </c>
      <c r="I95" s="10"/>
      <c r="J95" s="10"/>
      <c r="K95" s="10"/>
      <c r="L95" s="47" t="s">
        <v>168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5">
        <f t="shared" si="3"/>
        <v>63</v>
      </c>
      <c r="B96" s="10" t="s">
        <v>257</v>
      </c>
      <c r="C96" s="10" t="s">
        <v>261</v>
      </c>
      <c r="D96" s="10" t="s">
        <v>262</v>
      </c>
      <c r="E96" s="10" t="s">
        <v>263</v>
      </c>
      <c r="F96" s="16" t="s">
        <v>42</v>
      </c>
      <c r="G96" s="16" t="s">
        <v>171</v>
      </c>
      <c r="H96" s="16" t="s">
        <v>42</v>
      </c>
      <c r="I96" s="10"/>
      <c r="J96" s="10"/>
      <c r="K96" s="10"/>
      <c r="L96" s="47" t="s">
        <v>168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5">
        <f>+A94+1</f>
        <v>62</v>
      </c>
      <c r="B97" s="10" t="s">
        <v>264</v>
      </c>
      <c r="C97" s="10" t="s">
        <v>265</v>
      </c>
      <c r="D97" s="10"/>
      <c r="E97" s="10" t="s">
        <v>266</v>
      </c>
      <c r="F97" s="16" t="s">
        <v>42</v>
      </c>
      <c r="G97" s="16" t="s">
        <v>171</v>
      </c>
      <c r="H97" s="16" t="s">
        <v>42</v>
      </c>
      <c r="I97" s="10"/>
      <c r="J97" s="10"/>
      <c r="K97" s="10"/>
      <c r="L97" s="47" t="s">
        <v>168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5">
        <f t="shared" ref="A98:A101" si="4">+A97+1</f>
        <v>63</v>
      </c>
      <c r="B98" s="10" t="s">
        <v>267</v>
      </c>
      <c r="C98" s="10" t="s">
        <v>268</v>
      </c>
      <c r="D98" s="10" t="s">
        <v>269</v>
      </c>
      <c r="E98" s="10" t="s">
        <v>270</v>
      </c>
      <c r="F98" s="16" t="s">
        <v>42</v>
      </c>
      <c r="G98" s="16" t="s">
        <v>171</v>
      </c>
      <c r="H98" s="16" t="s">
        <v>42</v>
      </c>
      <c r="I98" s="10"/>
      <c r="J98" s="10"/>
      <c r="K98" s="10"/>
      <c r="L98" s="47" t="s">
        <v>168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5">
        <f t="shared" si="4"/>
        <v>64</v>
      </c>
      <c r="B99" s="10" t="s">
        <v>271</v>
      </c>
      <c r="C99" s="10" t="s">
        <v>272</v>
      </c>
      <c r="D99" s="10" t="s">
        <v>45</v>
      </c>
      <c r="E99" s="10" t="s">
        <v>273</v>
      </c>
      <c r="F99" s="16" t="s">
        <v>42</v>
      </c>
      <c r="G99" s="16" t="s">
        <v>171</v>
      </c>
      <c r="H99" s="16" t="s">
        <v>42</v>
      </c>
      <c r="I99" s="10"/>
      <c r="J99" s="10"/>
      <c r="K99" s="10"/>
      <c r="L99" s="47" t="s">
        <v>168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5">
        <f t="shared" si="4"/>
        <v>65</v>
      </c>
      <c r="B100" s="10" t="s">
        <v>274</v>
      </c>
      <c r="C100" s="10" t="s">
        <v>275</v>
      </c>
      <c r="D100" s="10" t="s">
        <v>276</v>
      </c>
      <c r="E100" s="10" t="s">
        <v>277</v>
      </c>
      <c r="F100" s="16" t="s">
        <v>42</v>
      </c>
      <c r="G100" s="16" t="s">
        <v>171</v>
      </c>
      <c r="H100" s="16" t="s">
        <v>42</v>
      </c>
      <c r="I100" s="10"/>
      <c r="J100" s="10"/>
      <c r="K100" s="10"/>
      <c r="L100" s="47" t="s">
        <v>168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5">
        <f t="shared" si="4"/>
        <v>66</v>
      </c>
      <c r="B101" s="48" t="s">
        <v>278</v>
      </c>
      <c r="C101" s="48" t="s">
        <v>279</v>
      </c>
      <c r="D101" s="48" t="s">
        <v>280</v>
      </c>
      <c r="E101" s="49"/>
      <c r="F101" s="10"/>
      <c r="G101" s="10"/>
      <c r="H101" s="10"/>
      <c r="I101" s="10"/>
      <c r="J101" s="10"/>
      <c r="K101" s="10"/>
      <c r="L101" s="47" t="s">
        <v>168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5">
        <f>+A99+1</f>
        <v>65</v>
      </c>
      <c r="B102" s="10" t="s">
        <v>281</v>
      </c>
      <c r="C102" s="10" t="s">
        <v>282</v>
      </c>
      <c r="D102" s="48" t="s">
        <v>283</v>
      </c>
      <c r="E102" s="10" t="s">
        <v>284</v>
      </c>
      <c r="F102" s="16" t="s">
        <v>42</v>
      </c>
      <c r="G102" s="16" t="s">
        <v>171</v>
      </c>
      <c r="H102" s="16" t="s">
        <v>42</v>
      </c>
      <c r="I102" s="10"/>
      <c r="J102" s="10"/>
      <c r="K102" s="10"/>
      <c r="L102" s="47" t="s">
        <v>168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5">
        <f t="shared" ref="A103:A106" si="5">+A102+1</f>
        <v>66</v>
      </c>
      <c r="B103" s="10" t="s">
        <v>285</v>
      </c>
      <c r="C103" s="48" t="s">
        <v>286</v>
      </c>
      <c r="D103" s="48" t="s">
        <v>287</v>
      </c>
      <c r="E103" s="10" t="s">
        <v>288</v>
      </c>
      <c r="F103" s="16" t="s">
        <v>3</v>
      </c>
      <c r="G103" s="16" t="s">
        <v>187</v>
      </c>
      <c r="H103" s="10"/>
      <c r="I103" s="10"/>
      <c r="J103" s="10"/>
      <c r="K103" s="10"/>
      <c r="L103" s="47" t="s">
        <v>168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5">
        <f t="shared" si="5"/>
        <v>67</v>
      </c>
      <c r="B104" s="10" t="s">
        <v>289</v>
      </c>
      <c r="C104" s="48" t="s">
        <v>290</v>
      </c>
      <c r="D104" s="48" t="s">
        <v>291</v>
      </c>
      <c r="E104" s="10" t="s">
        <v>292</v>
      </c>
      <c r="F104" s="16" t="s">
        <v>42</v>
      </c>
      <c r="G104" s="16" t="s">
        <v>171</v>
      </c>
      <c r="H104" s="16" t="s">
        <v>42</v>
      </c>
      <c r="I104" s="10"/>
      <c r="J104" s="10"/>
      <c r="K104" s="10"/>
      <c r="L104" s="47" t="s">
        <v>168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5">
        <f t="shared" si="5"/>
        <v>68</v>
      </c>
      <c r="B105" s="10" t="s">
        <v>293</v>
      </c>
      <c r="C105" s="48" t="s">
        <v>294</v>
      </c>
      <c r="D105" s="48" t="s">
        <v>295</v>
      </c>
      <c r="E105" s="10" t="s">
        <v>296</v>
      </c>
      <c r="F105" s="16" t="s">
        <v>297</v>
      </c>
      <c r="G105" s="10"/>
      <c r="H105" s="10"/>
      <c r="I105" s="10"/>
      <c r="J105" s="10"/>
      <c r="K105" s="10"/>
      <c r="L105" s="47" t="s">
        <v>168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5">
        <f t="shared" si="5"/>
        <v>69</v>
      </c>
      <c r="B106" s="10" t="s">
        <v>298</v>
      </c>
      <c r="C106" s="48" t="s">
        <v>299</v>
      </c>
      <c r="D106" s="50"/>
      <c r="E106" s="10" t="s">
        <v>300</v>
      </c>
      <c r="F106" s="16" t="s">
        <v>42</v>
      </c>
      <c r="G106" s="16" t="s">
        <v>171</v>
      </c>
      <c r="H106" s="16" t="s">
        <v>42</v>
      </c>
      <c r="I106" s="10"/>
      <c r="J106" s="10"/>
      <c r="K106" s="10"/>
      <c r="L106" s="47" t="s">
        <v>168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5">
        <f>+A104+1</f>
        <v>68</v>
      </c>
      <c r="B107" s="10" t="s">
        <v>298</v>
      </c>
      <c r="C107" s="48" t="s">
        <v>301</v>
      </c>
      <c r="D107" s="50"/>
      <c r="E107" s="10" t="s">
        <v>302</v>
      </c>
      <c r="F107" s="16" t="s">
        <v>3</v>
      </c>
      <c r="G107" s="16" t="s">
        <v>303</v>
      </c>
      <c r="H107" s="10"/>
      <c r="I107" s="10"/>
      <c r="J107" s="10"/>
      <c r="K107" s="10"/>
      <c r="L107" s="47" t="s">
        <v>168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5">
        <f t="shared" ref="A108:A111" si="6">+A107+1</f>
        <v>69</v>
      </c>
      <c r="B108" s="10" t="s">
        <v>298</v>
      </c>
      <c r="C108" s="48" t="s">
        <v>304</v>
      </c>
      <c r="D108" s="50"/>
      <c r="E108" s="10" t="s">
        <v>305</v>
      </c>
      <c r="F108" s="16" t="s">
        <v>42</v>
      </c>
      <c r="G108" s="16" t="s">
        <v>171</v>
      </c>
      <c r="H108" s="16" t="s">
        <v>42</v>
      </c>
      <c r="I108" s="10"/>
      <c r="J108" s="10"/>
      <c r="K108" s="10"/>
      <c r="L108" s="47" t="s">
        <v>168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5">
        <f t="shared" si="6"/>
        <v>70</v>
      </c>
      <c r="B109" s="10" t="s">
        <v>298</v>
      </c>
      <c r="C109" s="48" t="s">
        <v>306</v>
      </c>
      <c r="D109" s="50"/>
      <c r="E109" s="10" t="s">
        <v>307</v>
      </c>
      <c r="F109" s="16" t="s">
        <v>42</v>
      </c>
      <c r="G109" s="16" t="s">
        <v>171</v>
      </c>
      <c r="H109" s="16" t="s">
        <v>42</v>
      </c>
      <c r="I109" s="10"/>
      <c r="J109" s="10"/>
      <c r="K109" s="10"/>
      <c r="L109" s="47" t="s">
        <v>168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5">
        <f t="shared" si="6"/>
        <v>71</v>
      </c>
      <c r="B110" s="10" t="s">
        <v>298</v>
      </c>
      <c r="C110" s="48" t="s">
        <v>308</v>
      </c>
      <c r="D110" s="50"/>
      <c r="E110" s="10" t="s">
        <v>309</v>
      </c>
      <c r="F110" s="16" t="s">
        <v>3</v>
      </c>
      <c r="G110" s="16" t="s">
        <v>303</v>
      </c>
      <c r="H110" s="10"/>
      <c r="I110" s="10"/>
      <c r="J110" s="10"/>
      <c r="K110" s="10"/>
      <c r="L110" s="47" t="s">
        <v>168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5">
        <f t="shared" si="6"/>
        <v>72</v>
      </c>
      <c r="B111" s="10" t="s">
        <v>298</v>
      </c>
      <c r="C111" s="48" t="s">
        <v>310</v>
      </c>
      <c r="D111" s="50"/>
      <c r="E111" s="10" t="s">
        <v>311</v>
      </c>
      <c r="F111" s="16" t="s">
        <v>42</v>
      </c>
      <c r="G111" s="16" t="s">
        <v>171</v>
      </c>
      <c r="H111" s="16" t="s">
        <v>42</v>
      </c>
      <c r="I111" s="10"/>
      <c r="J111" s="10"/>
      <c r="K111" s="10"/>
      <c r="L111" s="47" t="s">
        <v>168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5">
        <f>+A109+1</f>
        <v>71</v>
      </c>
      <c r="B112" s="10" t="s">
        <v>298</v>
      </c>
      <c r="C112" s="48" t="s">
        <v>312</v>
      </c>
      <c r="D112" s="50"/>
      <c r="E112" s="10" t="s">
        <v>313</v>
      </c>
      <c r="F112" s="16" t="s">
        <v>3</v>
      </c>
      <c r="G112" s="16" t="s">
        <v>303</v>
      </c>
      <c r="H112" s="10"/>
      <c r="I112" s="10"/>
      <c r="J112" s="10"/>
      <c r="K112" s="10"/>
      <c r="L112" s="47" t="s">
        <v>168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5">
        <f>+A112+1</f>
        <v>72</v>
      </c>
      <c r="B113" s="10" t="s">
        <v>298</v>
      </c>
      <c r="C113" s="48" t="s">
        <v>314</v>
      </c>
      <c r="D113" s="50"/>
      <c r="E113" s="10" t="s">
        <v>315</v>
      </c>
      <c r="F113" s="16" t="s">
        <v>3</v>
      </c>
      <c r="G113" s="16" t="s">
        <v>303</v>
      </c>
      <c r="H113" s="10"/>
      <c r="I113" s="10"/>
      <c r="J113" s="10"/>
      <c r="K113" s="10"/>
      <c r="L113" s="47" t="s">
        <v>168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5">
        <f>+A111+1</f>
        <v>73</v>
      </c>
      <c r="B114" s="10" t="s">
        <v>298</v>
      </c>
      <c r="C114" s="48" t="s">
        <v>316</v>
      </c>
      <c r="D114" s="50"/>
      <c r="E114" s="10" t="s">
        <v>317</v>
      </c>
      <c r="F114" s="16" t="s">
        <v>42</v>
      </c>
      <c r="G114" s="16" t="s">
        <v>171</v>
      </c>
      <c r="H114" s="16" t="s">
        <v>42</v>
      </c>
      <c r="I114" s="10"/>
      <c r="J114" s="10"/>
      <c r="K114" s="10"/>
      <c r="L114" s="47" t="s">
        <v>168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5">
        <f t="shared" ref="A115:A198" si="7">+A114+1</f>
        <v>74</v>
      </c>
      <c r="B115" s="10" t="s">
        <v>298</v>
      </c>
      <c r="C115" s="48" t="s">
        <v>318</v>
      </c>
      <c r="D115" s="50"/>
      <c r="E115" s="10" t="s">
        <v>319</v>
      </c>
      <c r="F115" s="16" t="s">
        <v>42</v>
      </c>
      <c r="G115" s="16" t="s">
        <v>171</v>
      </c>
      <c r="H115" s="16" t="s">
        <v>42</v>
      </c>
      <c r="I115" s="10"/>
      <c r="J115" s="10"/>
      <c r="K115" s="10"/>
      <c r="L115" s="47" t="s">
        <v>168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5">
        <f t="shared" si="7"/>
        <v>75</v>
      </c>
      <c r="B116" s="10" t="s">
        <v>298</v>
      </c>
      <c r="C116" s="48" t="s">
        <v>320</v>
      </c>
      <c r="D116" s="50"/>
      <c r="E116" s="10" t="s">
        <v>321</v>
      </c>
      <c r="F116" s="16" t="s">
        <v>3</v>
      </c>
      <c r="G116" s="16" t="s">
        <v>187</v>
      </c>
      <c r="H116" s="10"/>
      <c r="I116" s="10"/>
      <c r="J116" s="10"/>
      <c r="K116" s="10"/>
      <c r="L116" s="47" t="s">
        <v>168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5">
        <f t="shared" si="7"/>
        <v>76</v>
      </c>
      <c r="B117" s="10" t="s">
        <v>298</v>
      </c>
      <c r="C117" s="48" t="s">
        <v>322</v>
      </c>
      <c r="D117" s="50"/>
      <c r="E117" s="10" t="s">
        <v>323</v>
      </c>
      <c r="F117" s="16" t="s">
        <v>42</v>
      </c>
      <c r="G117" s="16" t="s">
        <v>324</v>
      </c>
      <c r="H117" s="10"/>
      <c r="I117" s="10"/>
      <c r="J117" s="10"/>
      <c r="K117" s="10"/>
      <c r="L117" s="47" t="s">
        <v>168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5">
        <f t="shared" si="7"/>
        <v>77</v>
      </c>
      <c r="B118" s="10" t="s">
        <v>298</v>
      </c>
      <c r="C118" s="48" t="s">
        <v>325</v>
      </c>
      <c r="D118" s="50"/>
      <c r="E118" s="10" t="s">
        <v>326</v>
      </c>
      <c r="F118" s="16" t="s">
        <v>42</v>
      </c>
      <c r="G118" s="16" t="s">
        <v>171</v>
      </c>
      <c r="H118" s="16" t="s">
        <v>42</v>
      </c>
      <c r="I118" s="10"/>
      <c r="J118" s="10"/>
      <c r="K118" s="10"/>
      <c r="L118" s="47" t="s">
        <v>168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5">
        <f t="shared" si="7"/>
        <v>78</v>
      </c>
      <c r="B119" s="10" t="s">
        <v>298</v>
      </c>
      <c r="C119" s="48" t="s">
        <v>327</v>
      </c>
      <c r="D119" s="50"/>
      <c r="E119" s="10" t="s">
        <v>328</v>
      </c>
      <c r="F119" s="16" t="s">
        <v>3</v>
      </c>
      <c r="G119" s="16" t="s">
        <v>303</v>
      </c>
      <c r="H119" s="10"/>
      <c r="I119" s="10"/>
      <c r="J119" s="10"/>
      <c r="K119" s="10"/>
      <c r="L119" s="47" t="s">
        <v>168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5">
        <f t="shared" si="7"/>
        <v>79</v>
      </c>
      <c r="B120" s="10" t="s">
        <v>298</v>
      </c>
      <c r="C120" s="48" t="s">
        <v>329</v>
      </c>
      <c r="D120" s="50"/>
      <c r="E120" s="10" t="s">
        <v>330</v>
      </c>
      <c r="F120" s="16" t="s">
        <v>42</v>
      </c>
      <c r="G120" s="16" t="s">
        <v>171</v>
      </c>
      <c r="H120" s="16" t="s">
        <v>42</v>
      </c>
      <c r="I120" s="10"/>
      <c r="J120" s="10"/>
      <c r="K120" s="10"/>
      <c r="L120" s="47" t="s">
        <v>168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5">
        <f t="shared" si="7"/>
        <v>80</v>
      </c>
      <c r="B121" s="10" t="s">
        <v>298</v>
      </c>
      <c r="C121" s="48" t="s">
        <v>331</v>
      </c>
      <c r="D121" s="50"/>
      <c r="E121" s="10" t="s">
        <v>332</v>
      </c>
      <c r="F121" s="16" t="s">
        <v>3</v>
      </c>
      <c r="G121" s="16" t="s">
        <v>303</v>
      </c>
      <c r="H121" s="10"/>
      <c r="I121" s="10"/>
      <c r="J121" s="10"/>
      <c r="K121" s="10"/>
      <c r="L121" s="47" t="s">
        <v>168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35">
        <f t="shared" si="7"/>
        <v>81</v>
      </c>
      <c r="B122" s="10" t="s">
        <v>298</v>
      </c>
      <c r="C122" s="48" t="s">
        <v>333</v>
      </c>
      <c r="D122" s="50"/>
      <c r="E122" s="10" t="s">
        <v>334</v>
      </c>
      <c r="F122" s="16" t="s">
        <v>3</v>
      </c>
      <c r="G122" s="16" t="s">
        <v>303</v>
      </c>
      <c r="H122" s="10"/>
      <c r="I122" s="10"/>
      <c r="J122" s="10"/>
      <c r="K122" s="10"/>
      <c r="L122" s="47" t="s">
        <v>168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35">
        <f t="shared" si="7"/>
        <v>82</v>
      </c>
      <c r="B123" s="10" t="s">
        <v>298</v>
      </c>
      <c r="C123" s="48" t="s">
        <v>335</v>
      </c>
      <c r="D123" s="50"/>
      <c r="E123" s="10" t="s">
        <v>336</v>
      </c>
      <c r="F123" s="16" t="s">
        <v>42</v>
      </c>
      <c r="G123" s="16" t="s">
        <v>171</v>
      </c>
      <c r="H123" s="16" t="s">
        <v>42</v>
      </c>
      <c r="I123" s="10"/>
      <c r="J123" s="10"/>
      <c r="K123" s="10"/>
      <c r="L123" s="47" t="s">
        <v>168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5">
        <f t="shared" si="7"/>
        <v>83</v>
      </c>
      <c r="B124" s="10" t="s">
        <v>298</v>
      </c>
      <c r="C124" s="48" t="s">
        <v>337</v>
      </c>
      <c r="D124" s="50"/>
      <c r="E124" s="10" t="s">
        <v>338</v>
      </c>
      <c r="F124" s="16" t="s">
        <v>42</v>
      </c>
      <c r="G124" s="16" t="s">
        <v>171</v>
      </c>
      <c r="H124" s="16" t="s">
        <v>42</v>
      </c>
      <c r="I124" s="10"/>
      <c r="J124" s="10"/>
      <c r="K124" s="10"/>
      <c r="L124" s="47" t="s">
        <v>168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5">
        <f t="shared" si="7"/>
        <v>84</v>
      </c>
      <c r="B125" s="10" t="s">
        <v>298</v>
      </c>
      <c r="C125" s="48" t="s">
        <v>339</v>
      </c>
      <c r="D125" s="50"/>
      <c r="E125" s="10" t="s">
        <v>340</v>
      </c>
      <c r="F125" s="16" t="s">
        <v>3</v>
      </c>
      <c r="G125" s="16" t="s">
        <v>187</v>
      </c>
      <c r="H125" s="10"/>
      <c r="I125" s="10"/>
      <c r="J125" s="10"/>
      <c r="K125" s="10"/>
      <c r="L125" s="47" t="s">
        <v>168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5">
        <f t="shared" si="7"/>
        <v>85</v>
      </c>
      <c r="B126" s="10" t="s">
        <v>298</v>
      </c>
      <c r="C126" s="48" t="s">
        <v>341</v>
      </c>
      <c r="D126" s="50"/>
      <c r="E126" s="10" t="s">
        <v>342</v>
      </c>
      <c r="F126" s="16" t="s">
        <v>3</v>
      </c>
      <c r="G126" s="16" t="s">
        <v>187</v>
      </c>
      <c r="H126" s="10"/>
      <c r="I126" s="10"/>
      <c r="J126" s="10"/>
      <c r="K126" s="10"/>
      <c r="L126" s="47" t="s">
        <v>168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5">
        <f t="shared" si="7"/>
        <v>86</v>
      </c>
      <c r="B127" s="10" t="s">
        <v>298</v>
      </c>
      <c r="C127" s="48" t="s">
        <v>343</v>
      </c>
      <c r="D127" s="50"/>
      <c r="E127" s="10" t="s">
        <v>344</v>
      </c>
      <c r="F127" s="16" t="s">
        <v>3</v>
      </c>
      <c r="G127" s="16" t="s">
        <v>303</v>
      </c>
      <c r="H127" s="10"/>
      <c r="I127" s="10"/>
      <c r="J127" s="10"/>
      <c r="K127" s="10"/>
      <c r="L127" s="47" t="s">
        <v>168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5">
        <f t="shared" si="7"/>
        <v>87</v>
      </c>
      <c r="B128" s="10" t="s">
        <v>298</v>
      </c>
      <c r="C128" s="48" t="s">
        <v>345</v>
      </c>
      <c r="D128" s="50"/>
      <c r="E128" s="10" t="s">
        <v>346</v>
      </c>
      <c r="F128" s="16" t="s">
        <v>42</v>
      </c>
      <c r="G128" s="16" t="s">
        <v>171</v>
      </c>
      <c r="H128" s="16" t="s">
        <v>42</v>
      </c>
      <c r="I128" s="10"/>
      <c r="J128" s="10"/>
      <c r="K128" s="10"/>
      <c r="L128" s="47" t="s">
        <v>168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5">
        <f t="shared" si="7"/>
        <v>88</v>
      </c>
      <c r="B129" s="10" t="s">
        <v>298</v>
      </c>
      <c r="C129" s="48" t="s">
        <v>347</v>
      </c>
      <c r="D129" s="50"/>
      <c r="E129" s="10" t="s">
        <v>348</v>
      </c>
      <c r="F129" s="16" t="s">
        <v>3</v>
      </c>
      <c r="G129" s="16" t="s">
        <v>303</v>
      </c>
      <c r="H129" s="10"/>
      <c r="I129" s="10"/>
      <c r="J129" s="10"/>
      <c r="K129" s="10"/>
      <c r="L129" s="47" t="s">
        <v>168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5">
        <f t="shared" si="7"/>
        <v>89</v>
      </c>
      <c r="B130" s="10" t="s">
        <v>298</v>
      </c>
      <c r="C130" s="48" t="s">
        <v>349</v>
      </c>
      <c r="D130" s="50"/>
      <c r="E130" s="10" t="s">
        <v>350</v>
      </c>
      <c r="F130" s="16" t="s">
        <v>3</v>
      </c>
      <c r="G130" s="16" t="s">
        <v>303</v>
      </c>
      <c r="H130" s="10"/>
      <c r="I130" s="10"/>
      <c r="J130" s="10"/>
      <c r="K130" s="10"/>
      <c r="L130" s="47" t="s">
        <v>168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5">
        <f t="shared" si="7"/>
        <v>90</v>
      </c>
      <c r="B131" s="10" t="s">
        <v>298</v>
      </c>
      <c r="C131" s="48" t="s">
        <v>351</v>
      </c>
      <c r="D131" s="50"/>
      <c r="E131" s="10" t="s">
        <v>352</v>
      </c>
      <c r="F131" s="16" t="s">
        <v>42</v>
      </c>
      <c r="G131" s="16" t="s">
        <v>171</v>
      </c>
      <c r="H131" s="16" t="s">
        <v>42</v>
      </c>
      <c r="I131" s="10"/>
      <c r="J131" s="16" t="s">
        <v>42</v>
      </c>
      <c r="K131" s="10"/>
      <c r="L131" s="47" t="s">
        <v>168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5">
        <f t="shared" si="7"/>
        <v>91</v>
      </c>
      <c r="B132" s="10" t="s">
        <v>298</v>
      </c>
      <c r="C132" s="48" t="s">
        <v>353</v>
      </c>
      <c r="D132" s="50"/>
      <c r="E132" s="10" t="s">
        <v>354</v>
      </c>
      <c r="F132" s="16" t="s">
        <v>42</v>
      </c>
      <c r="G132" s="16" t="s">
        <v>171</v>
      </c>
      <c r="H132" s="16" t="s">
        <v>42</v>
      </c>
      <c r="I132" s="10"/>
      <c r="J132" s="16" t="s">
        <v>42</v>
      </c>
      <c r="K132" s="10"/>
      <c r="L132" s="47" t="s">
        <v>168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5">
        <f t="shared" si="7"/>
        <v>92</v>
      </c>
      <c r="B133" s="10" t="s">
        <v>298</v>
      </c>
      <c r="C133" s="48" t="s">
        <v>355</v>
      </c>
      <c r="D133" s="50"/>
      <c r="E133" s="10" t="s">
        <v>356</v>
      </c>
      <c r="F133" s="16" t="s">
        <v>42</v>
      </c>
      <c r="G133" s="16" t="s">
        <v>171</v>
      </c>
      <c r="H133" s="16" t="s">
        <v>42</v>
      </c>
      <c r="I133" s="10"/>
      <c r="J133" s="10"/>
      <c r="K133" s="10"/>
      <c r="L133" s="47" t="s">
        <v>168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5">
        <f t="shared" si="7"/>
        <v>93</v>
      </c>
      <c r="B134" s="10" t="s">
        <v>298</v>
      </c>
      <c r="C134" s="48" t="s">
        <v>357</v>
      </c>
      <c r="D134" s="50"/>
      <c r="E134" s="10" t="s">
        <v>358</v>
      </c>
      <c r="F134" s="16" t="s">
        <v>42</v>
      </c>
      <c r="G134" s="16" t="s">
        <v>171</v>
      </c>
      <c r="H134" s="16" t="s">
        <v>42</v>
      </c>
      <c r="I134" s="10"/>
      <c r="J134" s="10"/>
      <c r="K134" s="10"/>
      <c r="L134" s="47" t="s">
        <v>168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5">
        <f t="shared" si="7"/>
        <v>94</v>
      </c>
      <c r="B135" s="10" t="s">
        <v>298</v>
      </c>
      <c r="C135" s="48" t="s">
        <v>359</v>
      </c>
      <c r="D135" s="50"/>
      <c r="E135" s="10" t="s">
        <v>360</v>
      </c>
      <c r="F135" s="16" t="s">
        <v>42</v>
      </c>
      <c r="G135" s="16" t="s">
        <v>171</v>
      </c>
      <c r="H135" s="16" t="s">
        <v>42</v>
      </c>
      <c r="I135" s="10"/>
      <c r="J135" s="10"/>
      <c r="K135" s="10"/>
      <c r="L135" s="47" t="s">
        <v>168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5">
        <f t="shared" si="7"/>
        <v>95</v>
      </c>
      <c r="B136" s="10" t="s">
        <v>298</v>
      </c>
      <c r="C136" s="48" t="s">
        <v>361</v>
      </c>
      <c r="D136" s="50"/>
      <c r="E136" s="10" t="s">
        <v>362</v>
      </c>
      <c r="F136" s="16" t="s">
        <v>42</v>
      </c>
      <c r="G136" s="16" t="s">
        <v>171</v>
      </c>
      <c r="H136" s="16" t="s">
        <v>42</v>
      </c>
      <c r="I136" s="10"/>
      <c r="J136" s="10"/>
      <c r="K136" s="10"/>
      <c r="L136" s="47" t="s">
        <v>168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5">
        <f t="shared" si="7"/>
        <v>96</v>
      </c>
      <c r="B137" s="10" t="s">
        <v>298</v>
      </c>
      <c r="C137" s="48" t="s">
        <v>363</v>
      </c>
      <c r="D137" s="50"/>
      <c r="E137" s="10" t="s">
        <v>364</v>
      </c>
      <c r="F137" s="16" t="s">
        <v>42</v>
      </c>
      <c r="G137" s="16" t="s">
        <v>171</v>
      </c>
      <c r="H137" s="16" t="s">
        <v>42</v>
      </c>
      <c r="I137" s="10"/>
      <c r="J137" s="10"/>
      <c r="K137" s="10"/>
      <c r="L137" s="47" t="s">
        <v>168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5">
        <f t="shared" si="7"/>
        <v>97</v>
      </c>
      <c r="B138" s="10" t="s">
        <v>298</v>
      </c>
      <c r="C138" s="10" t="s">
        <v>365</v>
      </c>
      <c r="D138" s="50"/>
      <c r="E138" s="10" t="s">
        <v>366</v>
      </c>
      <c r="F138" s="16" t="s">
        <v>3</v>
      </c>
      <c r="G138" s="16" t="s">
        <v>303</v>
      </c>
      <c r="H138" s="10"/>
      <c r="I138" s="10"/>
      <c r="J138" s="10"/>
      <c r="K138" s="10"/>
      <c r="L138" s="47" t="s">
        <v>168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5">
        <f t="shared" si="7"/>
        <v>98</v>
      </c>
      <c r="B139" s="48" t="s">
        <v>367</v>
      </c>
      <c r="C139" s="48" t="s">
        <v>368</v>
      </c>
      <c r="D139" s="48" t="s">
        <v>369</v>
      </c>
      <c r="E139" s="10" t="s">
        <v>370</v>
      </c>
      <c r="F139" s="16" t="s">
        <v>42</v>
      </c>
      <c r="G139" s="16" t="s">
        <v>171</v>
      </c>
      <c r="H139" s="16" t="s">
        <v>42</v>
      </c>
      <c r="I139" s="10"/>
      <c r="J139" s="10"/>
      <c r="K139" s="10"/>
      <c r="L139" s="47" t="s">
        <v>168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5">
        <f t="shared" si="7"/>
        <v>99</v>
      </c>
      <c r="B140" s="51" t="s">
        <v>371</v>
      </c>
      <c r="C140" s="51" t="s">
        <v>372</v>
      </c>
      <c r="D140" s="48"/>
      <c r="E140" s="51" t="s">
        <v>373</v>
      </c>
      <c r="F140" s="16" t="s">
        <v>3</v>
      </c>
      <c r="G140" s="16" t="s">
        <v>187</v>
      </c>
      <c r="H140" s="10"/>
      <c r="I140" s="10"/>
      <c r="J140" s="10"/>
      <c r="K140" s="10"/>
      <c r="L140" s="47" t="s">
        <v>168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5">
        <f t="shared" si="7"/>
        <v>100</v>
      </c>
      <c r="B141" s="51" t="s">
        <v>374</v>
      </c>
      <c r="C141" s="51" t="s">
        <v>375</v>
      </c>
      <c r="D141" s="48"/>
      <c r="E141" s="51" t="s">
        <v>376</v>
      </c>
      <c r="F141" s="16" t="s">
        <v>42</v>
      </c>
      <c r="G141" s="16" t="s">
        <v>171</v>
      </c>
      <c r="H141" s="16" t="s">
        <v>42</v>
      </c>
      <c r="I141" s="10"/>
      <c r="J141" s="10"/>
      <c r="K141" s="10"/>
      <c r="L141" s="47" t="s">
        <v>168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5">
        <f t="shared" si="7"/>
        <v>101</v>
      </c>
      <c r="B142" s="51" t="s">
        <v>377</v>
      </c>
      <c r="C142" s="51" t="s">
        <v>378</v>
      </c>
      <c r="D142" s="48"/>
      <c r="E142" s="51" t="s">
        <v>379</v>
      </c>
      <c r="F142" s="16" t="s">
        <v>42</v>
      </c>
      <c r="G142" s="16" t="s">
        <v>171</v>
      </c>
      <c r="H142" s="16" t="s">
        <v>42</v>
      </c>
      <c r="I142" s="10"/>
      <c r="J142" s="10"/>
      <c r="K142" s="10"/>
      <c r="L142" s="47" t="s">
        <v>168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5">
        <f t="shared" si="7"/>
        <v>102</v>
      </c>
      <c r="B143" s="51" t="s">
        <v>377</v>
      </c>
      <c r="C143" s="51" t="s">
        <v>380</v>
      </c>
      <c r="D143" s="48"/>
      <c r="E143" s="51" t="s">
        <v>381</v>
      </c>
      <c r="F143" s="16" t="s">
        <v>42</v>
      </c>
      <c r="G143" s="16" t="s">
        <v>171</v>
      </c>
      <c r="H143" s="16" t="s">
        <v>42</v>
      </c>
      <c r="I143" s="10"/>
      <c r="J143" s="10"/>
      <c r="K143" s="10"/>
      <c r="L143" s="47" t="s">
        <v>168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5">
        <f t="shared" si="7"/>
        <v>103</v>
      </c>
      <c r="B144" s="51" t="s">
        <v>382</v>
      </c>
      <c r="C144" s="51" t="s">
        <v>383</v>
      </c>
      <c r="D144" s="48"/>
      <c r="E144" s="51" t="s">
        <v>384</v>
      </c>
      <c r="F144" s="16" t="s">
        <v>42</v>
      </c>
      <c r="G144" s="16" t="s">
        <v>171</v>
      </c>
      <c r="H144" s="16" t="s">
        <v>42</v>
      </c>
      <c r="I144" s="10"/>
      <c r="J144" s="10"/>
      <c r="K144" s="10"/>
      <c r="L144" s="47" t="s">
        <v>168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5">
        <f t="shared" si="7"/>
        <v>104</v>
      </c>
      <c r="B145" s="51" t="s">
        <v>385</v>
      </c>
      <c r="C145" s="51" t="s">
        <v>386</v>
      </c>
      <c r="D145" s="48"/>
      <c r="E145" s="51" t="s">
        <v>387</v>
      </c>
      <c r="F145" s="16" t="s">
        <v>3</v>
      </c>
      <c r="G145" s="16" t="s">
        <v>167</v>
      </c>
      <c r="H145" s="10"/>
      <c r="I145" s="10"/>
      <c r="J145" s="10"/>
      <c r="K145" s="10"/>
      <c r="L145" s="50" t="s">
        <v>388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5">
        <f t="shared" si="7"/>
        <v>105</v>
      </c>
      <c r="B146" s="52" t="s">
        <v>389</v>
      </c>
      <c r="C146" s="52" t="s">
        <v>390</v>
      </c>
      <c r="D146" s="48"/>
      <c r="E146" s="51" t="s">
        <v>391</v>
      </c>
      <c r="F146" s="16" t="s">
        <v>22</v>
      </c>
      <c r="G146" s="16" t="s">
        <v>171</v>
      </c>
      <c r="H146" s="16" t="s">
        <v>42</v>
      </c>
      <c r="I146" s="16" t="s">
        <v>212</v>
      </c>
      <c r="J146" s="16" t="s">
        <v>212</v>
      </c>
      <c r="K146" s="16" t="s">
        <v>212</v>
      </c>
      <c r="L146" s="50" t="s">
        <v>388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5">
        <f t="shared" si="7"/>
        <v>106</v>
      </c>
      <c r="B147" s="48" t="s">
        <v>392</v>
      </c>
      <c r="C147" s="48" t="s">
        <v>393</v>
      </c>
      <c r="D147" s="48"/>
      <c r="E147" s="48" t="s">
        <v>394</v>
      </c>
      <c r="F147" s="16" t="s">
        <v>3</v>
      </c>
      <c r="G147" s="16" t="s">
        <v>167</v>
      </c>
      <c r="H147" s="48"/>
      <c r="I147" s="48"/>
      <c r="J147" s="48"/>
      <c r="K147" s="48"/>
      <c r="L147" s="50" t="s">
        <v>388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5">
        <f t="shared" si="7"/>
        <v>107</v>
      </c>
      <c r="B148" s="51" t="s">
        <v>395</v>
      </c>
      <c r="C148" s="51" t="s">
        <v>396</v>
      </c>
      <c r="D148" s="51"/>
      <c r="E148" s="51" t="s">
        <v>397</v>
      </c>
      <c r="F148" s="16" t="s">
        <v>3</v>
      </c>
      <c r="G148" s="16" t="s">
        <v>187</v>
      </c>
      <c r="H148" s="51"/>
      <c r="I148" s="51"/>
      <c r="J148" s="51"/>
      <c r="K148" s="51"/>
      <c r="L148" s="50" t="s">
        <v>388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5">
        <f t="shared" si="7"/>
        <v>108</v>
      </c>
      <c r="B149" s="51" t="s">
        <v>398</v>
      </c>
      <c r="C149" s="51" t="s">
        <v>399</v>
      </c>
      <c r="D149" s="51"/>
      <c r="E149" s="51" t="s">
        <v>400</v>
      </c>
      <c r="F149" s="16" t="s">
        <v>22</v>
      </c>
      <c r="G149" s="16" t="s">
        <v>212</v>
      </c>
      <c r="H149" s="51"/>
      <c r="I149" s="51"/>
      <c r="J149" s="51"/>
      <c r="K149" s="51"/>
      <c r="L149" s="50" t="s">
        <v>388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5">
        <f t="shared" si="7"/>
        <v>109</v>
      </c>
      <c r="B150" s="51" t="s">
        <v>401</v>
      </c>
      <c r="C150" s="51" t="s">
        <v>402</v>
      </c>
      <c r="D150" s="51"/>
      <c r="E150" s="51" t="s">
        <v>403</v>
      </c>
      <c r="F150" s="51"/>
      <c r="G150" s="51"/>
      <c r="H150" s="51"/>
      <c r="I150" s="51"/>
      <c r="J150" s="51"/>
      <c r="K150" s="51"/>
      <c r="L150" s="50" t="s">
        <v>388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5">
        <f t="shared" si="7"/>
        <v>110</v>
      </c>
      <c r="B151" s="51" t="s">
        <v>404</v>
      </c>
      <c r="C151" s="51" t="s">
        <v>405</v>
      </c>
      <c r="D151" s="51"/>
      <c r="E151" s="51" t="s">
        <v>406</v>
      </c>
      <c r="F151" s="16" t="s">
        <v>22</v>
      </c>
      <c r="G151" s="16" t="s">
        <v>171</v>
      </c>
      <c r="H151" s="16" t="s">
        <v>42</v>
      </c>
      <c r="I151" s="16" t="s">
        <v>3</v>
      </c>
      <c r="J151" s="16" t="s">
        <v>3</v>
      </c>
      <c r="K151" s="16" t="s">
        <v>3</v>
      </c>
      <c r="L151" s="50" t="s">
        <v>388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5">
        <f t="shared" si="7"/>
        <v>111</v>
      </c>
      <c r="B152" s="51" t="s">
        <v>407</v>
      </c>
      <c r="C152" s="51" t="s">
        <v>408</v>
      </c>
      <c r="D152" s="51"/>
      <c r="E152" s="51" t="s">
        <v>409</v>
      </c>
      <c r="F152" s="16" t="s">
        <v>22</v>
      </c>
      <c r="G152" s="16" t="s">
        <v>171</v>
      </c>
      <c r="H152" s="16" t="s">
        <v>42</v>
      </c>
      <c r="I152" s="16" t="s">
        <v>212</v>
      </c>
      <c r="J152" s="16" t="s">
        <v>212</v>
      </c>
      <c r="K152" s="16" t="s">
        <v>212</v>
      </c>
      <c r="L152" s="50" t="s">
        <v>388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5">
        <f t="shared" si="7"/>
        <v>112</v>
      </c>
      <c r="B153" s="51" t="s">
        <v>410</v>
      </c>
      <c r="C153" s="51" t="s">
        <v>411</v>
      </c>
      <c r="D153" s="51"/>
      <c r="E153" s="51" t="s">
        <v>412</v>
      </c>
      <c r="F153" s="16" t="s">
        <v>22</v>
      </c>
      <c r="G153" s="16" t="s">
        <v>171</v>
      </c>
      <c r="H153" s="16" t="s">
        <v>42</v>
      </c>
      <c r="I153" s="16" t="s">
        <v>42</v>
      </c>
      <c r="J153" s="16" t="s">
        <v>42</v>
      </c>
      <c r="K153" s="16" t="s">
        <v>42</v>
      </c>
      <c r="L153" s="50" t="s">
        <v>388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5">
        <f t="shared" si="7"/>
        <v>113</v>
      </c>
      <c r="B154" s="51" t="s">
        <v>413</v>
      </c>
      <c r="C154" s="51" t="s">
        <v>414</v>
      </c>
      <c r="D154" s="51"/>
      <c r="E154" s="51" t="s">
        <v>415</v>
      </c>
      <c r="F154" s="16" t="s">
        <v>22</v>
      </c>
      <c r="G154" s="51"/>
      <c r="H154" s="51"/>
      <c r="I154" s="51"/>
      <c r="J154" s="51"/>
      <c r="K154" s="51"/>
      <c r="L154" s="50" t="s">
        <v>388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3">
        <f t="shared" si="7"/>
        <v>114</v>
      </c>
      <c r="B155" s="54" t="s">
        <v>416</v>
      </c>
      <c r="C155" s="54" t="s">
        <v>417</v>
      </c>
      <c r="D155" s="54"/>
      <c r="E155" s="54" t="s">
        <v>415</v>
      </c>
      <c r="F155" s="54"/>
      <c r="G155" s="54"/>
      <c r="H155" s="54"/>
      <c r="I155" s="54"/>
      <c r="J155" s="54"/>
      <c r="K155" s="54"/>
      <c r="L155" s="55" t="s">
        <v>388</v>
      </c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35">
        <f t="shared" si="7"/>
        <v>115</v>
      </c>
      <c r="B156" s="51" t="s">
        <v>418</v>
      </c>
      <c r="C156" s="51" t="s">
        <v>419</v>
      </c>
      <c r="D156" s="51"/>
      <c r="E156" s="51" t="s">
        <v>420</v>
      </c>
      <c r="F156" s="16" t="s">
        <v>22</v>
      </c>
      <c r="G156" s="16" t="s">
        <v>171</v>
      </c>
      <c r="H156" s="16" t="s">
        <v>42</v>
      </c>
      <c r="I156" s="16" t="s">
        <v>42</v>
      </c>
      <c r="J156" s="16" t="s">
        <v>42</v>
      </c>
      <c r="K156" s="16" t="s">
        <v>42</v>
      </c>
      <c r="L156" s="50" t="s">
        <v>388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5">
        <f t="shared" si="7"/>
        <v>116</v>
      </c>
      <c r="B157" s="51" t="s">
        <v>421</v>
      </c>
      <c r="C157" s="51" t="s">
        <v>422</v>
      </c>
      <c r="D157" s="51"/>
      <c r="E157" s="51" t="s">
        <v>423</v>
      </c>
      <c r="F157" s="16" t="s">
        <v>22</v>
      </c>
      <c r="G157" s="51"/>
      <c r="H157" s="51"/>
      <c r="I157" s="51"/>
      <c r="J157" s="51"/>
      <c r="K157" s="51"/>
      <c r="L157" s="50" t="s">
        <v>388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53">
        <f t="shared" si="7"/>
        <v>117</v>
      </c>
      <c r="B158" s="54" t="s">
        <v>424</v>
      </c>
      <c r="C158" s="54" t="s">
        <v>425</v>
      </c>
      <c r="D158" s="54"/>
      <c r="E158" s="54" t="s">
        <v>426</v>
      </c>
      <c r="F158" s="54"/>
      <c r="G158" s="54"/>
      <c r="H158" s="54"/>
      <c r="I158" s="54"/>
      <c r="J158" s="54"/>
      <c r="K158" s="54"/>
      <c r="L158" s="55" t="s">
        <v>388</v>
      </c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35">
        <f t="shared" si="7"/>
        <v>118</v>
      </c>
      <c r="B159" s="51" t="s">
        <v>427</v>
      </c>
      <c r="C159" s="51" t="s">
        <v>428</v>
      </c>
      <c r="D159" s="51"/>
      <c r="E159" s="51" t="s">
        <v>429</v>
      </c>
      <c r="F159" s="16" t="s">
        <v>22</v>
      </c>
      <c r="G159" s="51"/>
      <c r="H159" s="51"/>
      <c r="I159" s="51"/>
      <c r="J159" s="51"/>
      <c r="K159" s="51"/>
      <c r="L159" s="50" t="s">
        <v>388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5">
        <f t="shared" si="7"/>
        <v>119</v>
      </c>
      <c r="B160" s="51" t="s">
        <v>430</v>
      </c>
      <c r="C160" s="51" t="s">
        <v>431</v>
      </c>
      <c r="D160" s="51"/>
      <c r="E160" s="51" t="s">
        <v>432</v>
      </c>
      <c r="F160" s="16" t="s">
        <v>22</v>
      </c>
      <c r="G160" s="16" t="s">
        <v>171</v>
      </c>
      <c r="H160" s="16" t="s">
        <v>42</v>
      </c>
      <c r="I160" s="16" t="s">
        <v>212</v>
      </c>
      <c r="J160" s="16" t="s">
        <v>212</v>
      </c>
      <c r="K160" s="16" t="s">
        <v>212</v>
      </c>
      <c r="L160" s="50" t="s">
        <v>388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5">
        <f t="shared" si="7"/>
        <v>120</v>
      </c>
      <c r="B161" s="51" t="s">
        <v>433</v>
      </c>
      <c r="C161" s="51" t="s">
        <v>434</v>
      </c>
      <c r="D161" s="51"/>
      <c r="E161" s="51" t="s">
        <v>435</v>
      </c>
      <c r="F161" s="16" t="s">
        <v>22</v>
      </c>
      <c r="G161" s="51"/>
      <c r="H161" s="51"/>
      <c r="I161" s="51"/>
      <c r="J161" s="51"/>
      <c r="K161" s="51"/>
      <c r="L161" s="50" t="s">
        <v>388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5">
        <f t="shared" si="7"/>
        <v>121</v>
      </c>
      <c r="B162" s="51" t="s">
        <v>436</v>
      </c>
      <c r="C162" s="51" t="s">
        <v>437</v>
      </c>
      <c r="D162" s="51"/>
      <c r="E162" s="51" t="s">
        <v>438</v>
      </c>
      <c r="F162" s="16" t="s">
        <v>22</v>
      </c>
      <c r="G162" s="16" t="s">
        <v>171</v>
      </c>
      <c r="H162" s="16" t="s">
        <v>42</v>
      </c>
      <c r="I162" s="16" t="s">
        <v>212</v>
      </c>
      <c r="J162" s="16" t="s">
        <v>212</v>
      </c>
      <c r="K162" s="16" t="s">
        <v>212</v>
      </c>
      <c r="L162" s="50" t="s">
        <v>388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5">
        <f t="shared" si="7"/>
        <v>122</v>
      </c>
      <c r="B163" s="48" t="s">
        <v>439</v>
      </c>
      <c r="C163" s="48" t="s">
        <v>440</v>
      </c>
      <c r="D163" s="48"/>
      <c r="E163" s="48" t="s">
        <v>441</v>
      </c>
      <c r="F163" s="16" t="s">
        <v>22</v>
      </c>
      <c r="G163" s="16" t="s">
        <v>171</v>
      </c>
      <c r="H163" s="16" t="s">
        <v>42</v>
      </c>
      <c r="I163" s="16" t="s">
        <v>42</v>
      </c>
      <c r="J163" s="16" t="s">
        <v>42</v>
      </c>
      <c r="K163" s="16" t="s">
        <v>42</v>
      </c>
      <c r="L163" s="50" t="s">
        <v>388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5">
        <f t="shared" si="7"/>
        <v>123</v>
      </c>
      <c r="B164" s="51" t="s">
        <v>442</v>
      </c>
      <c r="C164" s="51" t="s">
        <v>443</v>
      </c>
      <c r="D164" s="51"/>
      <c r="E164" s="51" t="s">
        <v>444</v>
      </c>
      <c r="F164" s="16" t="s">
        <v>22</v>
      </c>
      <c r="G164" s="16" t="s">
        <v>171</v>
      </c>
      <c r="H164" s="16" t="s">
        <v>42</v>
      </c>
      <c r="I164" s="52" t="s">
        <v>445</v>
      </c>
      <c r="J164" s="52" t="s">
        <v>445</v>
      </c>
      <c r="K164" s="16" t="s">
        <v>42</v>
      </c>
      <c r="L164" s="50" t="s">
        <v>388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5">
        <f t="shared" si="7"/>
        <v>124</v>
      </c>
      <c r="B165" s="51" t="s">
        <v>446</v>
      </c>
      <c r="C165" s="51" t="s">
        <v>447</v>
      </c>
      <c r="D165" s="51"/>
      <c r="E165" s="51" t="s">
        <v>448</v>
      </c>
      <c r="F165" s="16" t="s">
        <v>22</v>
      </c>
      <c r="G165" s="51"/>
      <c r="H165" s="51"/>
      <c r="I165" s="51"/>
      <c r="J165" s="51"/>
      <c r="K165" s="51"/>
      <c r="L165" s="50" t="s">
        <v>388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5">
        <f t="shared" si="7"/>
        <v>125</v>
      </c>
      <c r="B166" s="51" t="s">
        <v>449</v>
      </c>
      <c r="C166" s="51" t="s">
        <v>450</v>
      </c>
      <c r="D166" s="51"/>
      <c r="E166" s="51" t="s">
        <v>451</v>
      </c>
      <c r="F166" s="51"/>
      <c r="G166" s="51"/>
      <c r="H166" s="51"/>
      <c r="I166" s="51"/>
      <c r="J166" s="51"/>
      <c r="K166" s="51"/>
      <c r="L166" s="50" t="s">
        <v>388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5">
        <f t="shared" si="7"/>
        <v>126</v>
      </c>
      <c r="B167" s="51" t="s">
        <v>452</v>
      </c>
      <c r="C167" s="51" t="s">
        <v>453</v>
      </c>
      <c r="D167" s="51"/>
      <c r="E167" s="51" t="s">
        <v>454</v>
      </c>
      <c r="F167" s="51"/>
      <c r="G167" s="51"/>
      <c r="H167" s="51"/>
      <c r="I167" s="51"/>
      <c r="J167" s="51"/>
      <c r="K167" s="51"/>
      <c r="L167" s="50" t="s">
        <v>388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5">
        <f t="shared" si="7"/>
        <v>127</v>
      </c>
      <c r="B168" s="51" t="s">
        <v>455</v>
      </c>
      <c r="C168" s="51" t="s">
        <v>456</v>
      </c>
      <c r="D168" s="51"/>
      <c r="E168" s="51" t="s">
        <v>457</v>
      </c>
      <c r="F168" s="16" t="s">
        <v>22</v>
      </c>
      <c r="G168" s="16" t="s">
        <v>171</v>
      </c>
      <c r="H168" s="16" t="s">
        <v>42</v>
      </c>
      <c r="I168" s="16" t="s">
        <v>42</v>
      </c>
      <c r="J168" s="16" t="s">
        <v>42</v>
      </c>
      <c r="K168" s="16" t="s">
        <v>42</v>
      </c>
      <c r="L168" s="50" t="s">
        <v>388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5">
        <f t="shared" si="7"/>
        <v>128</v>
      </c>
      <c r="B169" s="51" t="s">
        <v>458</v>
      </c>
      <c r="C169" s="51" t="s">
        <v>459</v>
      </c>
      <c r="D169" s="51"/>
      <c r="E169" s="51" t="s">
        <v>460</v>
      </c>
      <c r="F169" s="51"/>
      <c r="G169" s="51"/>
      <c r="H169" s="51"/>
      <c r="I169" s="51"/>
      <c r="J169" s="51"/>
      <c r="K169" s="51"/>
      <c r="L169" s="50" t="s">
        <v>388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5">
        <f t="shared" si="7"/>
        <v>129</v>
      </c>
      <c r="B170" s="51" t="s">
        <v>461</v>
      </c>
      <c r="C170" s="51" t="s">
        <v>462</v>
      </c>
      <c r="D170" s="51"/>
      <c r="E170" s="51" t="s">
        <v>463</v>
      </c>
      <c r="F170" s="51"/>
      <c r="G170" s="51"/>
      <c r="H170" s="51"/>
      <c r="I170" s="51"/>
      <c r="J170" s="51"/>
      <c r="K170" s="51"/>
      <c r="L170" s="50" t="s">
        <v>388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35">
        <f t="shared" si="7"/>
        <v>130</v>
      </c>
      <c r="B171" s="48" t="s">
        <v>464</v>
      </c>
      <c r="C171" s="48" t="s">
        <v>465</v>
      </c>
      <c r="D171" s="48"/>
      <c r="E171" s="48" t="s">
        <v>466</v>
      </c>
      <c r="F171" s="48"/>
      <c r="G171" s="48"/>
      <c r="H171" s="48"/>
      <c r="I171" s="48"/>
      <c r="J171" s="48"/>
      <c r="K171" s="48"/>
      <c r="L171" s="50" t="s">
        <v>388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5">
        <f t="shared" si="7"/>
        <v>131</v>
      </c>
      <c r="B172" s="51" t="s">
        <v>467</v>
      </c>
      <c r="C172" s="51" t="s">
        <v>468</v>
      </c>
      <c r="D172" s="51"/>
      <c r="E172" s="51" t="s">
        <v>469</v>
      </c>
      <c r="F172" s="51"/>
      <c r="G172" s="51"/>
      <c r="H172" s="51"/>
      <c r="I172" s="51"/>
      <c r="J172" s="51"/>
      <c r="K172" s="51"/>
      <c r="L172" s="50" t="s">
        <v>388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35">
        <f t="shared" si="7"/>
        <v>132</v>
      </c>
      <c r="B173" s="51" t="s">
        <v>470</v>
      </c>
      <c r="C173" s="51" t="s">
        <v>471</v>
      </c>
      <c r="D173" s="51"/>
      <c r="E173" s="51" t="s">
        <v>472</v>
      </c>
      <c r="F173" s="51"/>
      <c r="G173" s="51"/>
      <c r="H173" s="51"/>
      <c r="I173" s="51"/>
      <c r="J173" s="51"/>
      <c r="K173" s="51"/>
      <c r="L173" s="50" t="s">
        <v>388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5">
        <f t="shared" si="7"/>
        <v>133</v>
      </c>
      <c r="B174" s="51" t="s">
        <v>473</v>
      </c>
      <c r="C174" s="51" t="s">
        <v>474</v>
      </c>
      <c r="D174" s="51"/>
      <c r="E174" s="51" t="s">
        <v>475</v>
      </c>
      <c r="F174" s="51"/>
      <c r="G174" s="51"/>
      <c r="H174" s="51"/>
      <c r="I174" s="51"/>
      <c r="J174" s="51"/>
      <c r="K174" s="51"/>
      <c r="L174" s="50" t="s">
        <v>388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35">
        <f t="shared" si="7"/>
        <v>134</v>
      </c>
      <c r="B175" s="51" t="s">
        <v>476</v>
      </c>
      <c r="C175" s="51" t="s">
        <v>477</v>
      </c>
      <c r="D175" s="51"/>
      <c r="E175" s="51" t="s">
        <v>478</v>
      </c>
      <c r="F175" s="51"/>
      <c r="G175" s="51"/>
      <c r="H175" s="51"/>
      <c r="I175" s="51"/>
      <c r="J175" s="51"/>
      <c r="K175" s="51"/>
      <c r="L175" s="50" t="s">
        <v>388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5">
        <f t="shared" si="7"/>
        <v>135</v>
      </c>
      <c r="B176" s="51" t="s">
        <v>392</v>
      </c>
      <c r="C176" s="51" t="s">
        <v>393</v>
      </c>
      <c r="D176" s="51"/>
      <c r="E176" s="51" t="s">
        <v>394</v>
      </c>
      <c r="F176" s="51"/>
      <c r="G176" s="51"/>
      <c r="H176" s="51"/>
      <c r="I176" s="51"/>
      <c r="J176" s="51"/>
      <c r="K176" s="51"/>
      <c r="L176" s="50" t="s">
        <v>388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35">
        <f t="shared" si="7"/>
        <v>136</v>
      </c>
      <c r="B177" s="51" t="s">
        <v>395</v>
      </c>
      <c r="C177" s="51" t="s">
        <v>396</v>
      </c>
      <c r="D177" s="51"/>
      <c r="E177" s="51" t="s">
        <v>397</v>
      </c>
      <c r="F177" s="51"/>
      <c r="G177" s="51"/>
      <c r="H177" s="51"/>
      <c r="I177" s="51"/>
      <c r="J177" s="51"/>
      <c r="K177" s="51"/>
      <c r="L177" s="50" t="s">
        <v>388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5">
        <f t="shared" si="7"/>
        <v>137</v>
      </c>
      <c r="B178" s="51" t="s">
        <v>398</v>
      </c>
      <c r="C178" s="51" t="s">
        <v>399</v>
      </c>
      <c r="D178" s="51"/>
      <c r="E178" s="51" t="s">
        <v>400</v>
      </c>
      <c r="F178" s="51"/>
      <c r="G178" s="51"/>
      <c r="H178" s="51"/>
      <c r="I178" s="51"/>
      <c r="J178" s="51"/>
      <c r="K178" s="51"/>
      <c r="L178" s="50" t="s">
        <v>388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35">
        <f t="shared" si="7"/>
        <v>138</v>
      </c>
      <c r="B179" s="48" t="s">
        <v>401</v>
      </c>
      <c r="C179" s="48" t="s">
        <v>402</v>
      </c>
      <c r="D179" s="48"/>
      <c r="E179" s="48" t="s">
        <v>403</v>
      </c>
      <c r="F179" s="48"/>
      <c r="G179" s="48"/>
      <c r="H179" s="48"/>
      <c r="I179" s="48"/>
      <c r="J179" s="48"/>
      <c r="K179" s="48"/>
      <c r="L179" s="50" t="s">
        <v>388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5">
        <f t="shared" si="7"/>
        <v>139</v>
      </c>
      <c r="B180" s="51" t="s">
        <v>404</v>
      </c>
      <c r="C180" s="51" t="s">
        <v>405</v>
      </c>
      <c r="D180" s="51"/>
      <c r="E180" s="51" t="s">
        <v>406</v>
      </c>
      <c r="F180" s="51"/>
      <c r="G180" s="51"/>
      <c r="H180" s="51"/>
      <c r="I180" s="51"/>
      <c r="J180" s="51"/>
      <c r="K180" s="51"/>
      <c r="L180" s="50" t="s">
        <v>388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35">
        <f t="shared" si="7"/>
        <v>140</v>
      </c>
      <c r="B181" s="51" t="s">
        <v>407</v>
      </c>
      <c r="C181" s="51" t="s">
        <v>408</v>
      </c>
      <c r="D181" s="51"/>
      <c r="E181" s="51" t="s">
        <v>409</v>
      </c>
      <c r="F181" s="51"/>
      <c r="G181" s="51"/>
      <c r="H181" s="51"/>
      <c r="I181" s="51"/>
      <c r="J181" s="51"/>
      <c r="K181" s="51"/>
      <c r="L181" s="50" t="s">
        <v>388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5">
        <f t="shared" si="7"/>
        <v>141</v>
      </c>
      <c r="B182" s="51" t="s">
        <v>479</v>
      </c>
      <c r="C182" s="51" t="s">
        <v>480</v>
      </c>
      <c r="D182" s="51"/>
      <c r="E182" s="51" t="s">
        <v>481</v>
      </c>
      <c r="F182" s="51"/>
      <c r="G182" s="51"/>
      <c r="H182" s="51"/>
      <c r="I182" s="51"/>
      <c r="J182" s="51"/>
      <c r="K182" s="51"/>
      <c r="L182" s="50" t="s">
        <v>388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35">
        <f t="shared" si="7"/>
        <v>142</v>
      </c>
      <c r="B183" s="51" t="s">
        <v>479</v>
      </c>
      <c r="C183" s="51" t="s">
        <v>482</v>
      </c>
      <c r="D183" s="51"/>
      <c r="E183" s="51" t="s">
        <v>483</v>
      </c>
      <c r="F183" s="51"/>
      <c r="G183" s="51"/>
      <c r="H183" s="51"/>
      <c r="I183" s="51"/>
      <c r="J183" s="51"/>
      <c r="K183" s="51"/>
      <c r="L183" s="50" t="s">
        <v>388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5">
        <f t="shared" si="7"/>
        <v>143</v>
      </c>
      <c r="B184" s="51" t="s">
        <v>484</v>
      </c>
      <c r="C184" s="51" t="s">
        <v>485</v>
      </c>
      <c r="D184" s="51"/>
      <c r="E184" s="51" t="s">
        <v>486</v>
      </c>
      <c r="F184" s="51"/>
      <c r="G184" s="51"/>
      <c r="H184" s="51"/>
      <c r="I184" s="51"/>
      <c r="J184" s="51"/>
      <c r="K184" s="51"/>
      <c r="L184" s="50" t="s">
        <v>388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35">
        <f t="shared" si="7"/>
        <v>144</v>
      </c>
      <c r="B185" s="51" t="s">
        <v>484</v>
      </c>
      <c r="C185" s="51" t="s">
        <v>487</v>
      </c>
      <c r="D185" s="51"/>
      <c r="E185" s="51" t="s">
        <v>488</v>
      </c>
      <c r="F185" s="51"/>
      <c r="G185" s="51"/>
      <c r="H185" s="51"/>
      <c r="I185" s="51"/>
      <c r="J185" s="51"/>
      <c r="K185" s="51"/>
      <c r="L185" s="50" t="s">
        <v>388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5">
        <f t="shared" si="7"/>
        <v>145</v>
      </c>
      <c r="B186" s="51" t="s">
        <v>489</v>
      </c>
      <c r="C186" s="51" t="s">
        <v>490</v>
      </c>
      <c r="D186" s="51"/>
      <c r="E186" s="51" t="s">
        <v>491</v>
      </c>
      <c r="F186" s="51"/>
      <c r="G186" s="51"/>
      <c r="H186" s="51"/>
      <c r="I186" s="51"/>
      <c r="J186" s="51"/>
      <c r="K186" s="51"/>
      <c r="L186" s="50" t="s">
        <v>388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35">
        <f t="shared" si="7"/>
        <v>146</v>
      </c>
      <c r="B187" s="48" t="s">
        <v>492</v>
      </c>
      <c r="C187" s="48" t="s">
        <v>493</v>
      </c>
      <c r="D187" s="48"/>
      <c r="E187" s="48" t="s">
        <v>494</v>
      </c>
      <c r="F187" s="48"/>
      <c r="G187" s="48"/>
      <c r="H187" s="48"/>
      <c r="I187" s="48"/>
      <c r="J187" s="48"/>
      <c r="K187" s="48"/>
      <c r="L187" s="50" t="s">
        <v>388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5">
        <f t="shared" si="7"/>
        <v>147</v>
      </c>
      <c r="B188" s="51" t="s">
        <v>495</v>
      </c>
      <c r="C188" s="51" t="s">
        <v>496</v>
      </c>
      <c r="D188" s="51"/>
      <c r="E188" s="51" t="s">
        <v>497</v>
      </c>
      <c r="F188" s="51"/>
      <c r="G188" s="51"/>
      <c r="H188" s="51"/>
      <c r="I188" s="51"/>
      <c r="J188" s="51"/>
      <c r="K188" s="51"/>
      <c r="L188" s="50" t="s">
        <v>388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35">
        <f t="shared" si="7"/>
        <v>148</v>
      </c>
      <c r="B189" s="51" t="s">
        <v>498</v>
      </c>
      <c r="C189" s="51" t="s">
        <v>499</v>
      </c>
      <c r="D189" s="51"/>
      <c r="E189" s="51" t="s">
        <v>500</v>
      </c>
      <c r="F189" s="51"/>
      <c r="G189" s="51"/>
      <c r="H189" s="51"/>
      <c r="I189" s="51"/>
      <c r="J189" s="51"/>
      <c r="K189" s="51"/>
      <c r="L189" s="50" t="s">
        <v>388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5">
        <f t="shared" si="7"/>
        <v>149</v>
      </c>
      <c r="B190" s="51" t="s">
        <v>501</v>
      </c>
      <c r="C190" s="51" t="s">
        <v>502</v>
      </c>
      <c r="D190" s="51"/>
      <c r="E190" s="51"/>
      <c r="F190" s="51"/>
      <c r="G190" s="51"/>
      <c r="H190" s="51"/>
      <c r="I190" s="51"/>
      <c r="J190" s="51"/>
      <c r="K190" s="51"/>
      <c r="L190" s="50" t="s">
        <v>388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35">
        <f t="shared" si="7"/>
        <v>150</v>
      </c>
      <c r="B191" s="51" t="s">
        <v>501</v>
      </c>
      <c r="C191" s="51" t="s">
        <v>503</v>
      </c>
      <c r="D191" s="51"/>
      <c r="E191" s="51"/>
      <c r="F191" s="51"/>
      <c r="G191" s="51"/>
      <c r="H191" s="51"/>
      <c r="I191" s="51"/>
      <c r="J191" s="51"/>
      <c r="K191" s="51"/>
      <c r="L191" s="50" t="s">
        <v>388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5">
        <f t="shared" si="7"/>
        <v>151</v>
      </c>
      <c r="B192" s="51" t="s">
        <v>501</v>
      </c>
      <c r="C192" s="51" t="s">
        <v>504</v>
      </c>
      <c r="D192" s="51"/>
      <c r="E192" s="51"/>
      <c r="F192" s="51"/>
      <c r="G192" s="51"/>
      <c r="H192" s="51"/>
      <c r="I192" s="51"/>
      <c r="J192" s="51"/>
      <c r="K192" s="51"/>
      <c r="L192" s="50" t="s">
        <v>388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35">
        <f t="shared" si="7"/>
        <v>152</v>
      </c>
      <c r="B193" s="51" t="s">
        <v>505</v>
      </c>
      <c r="C193" s="51" t="s">
        <v>506</v>
      </c>
      <c r="D193" s="51"/>
      <c r="E193" s="51"/>
      <c r="F193" s="51"/>
      <c r="G193" s="51"/>
      <c r="H193" s="51"/>
      <c r="I193" s="51"/>
      <c r="J193" s="51"/>
      <c r="K193" s="51"/>
      <c r="L193" s="50" t="s">
        <v>388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5">
        <f t="shared" si="7"/>
        <v>153</v>
      </c>
      <c r="B194" s="51" t="s">
        <v>507</v>
      </c>
      <c r="C194" s="51" t="s">
        <v>508</v>
      </c>
      <c r="D194" s="51" t="s">
        <v>509</v>
      </c>
      <c r="E194" s="51">
        <v>8.092146923E9</v>
      </c>
      <c r="F194" s="51"/>
      <c r="G194" s="51"/>
      <c r="H194" s="51"/>
      <c r="I194" s="51"/>
      <c r="J194" s="51"/>
      <c r="K194" s="51"/>
      <c r="L194" s="50" t="s">
        <v>388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35">
        <f t="shared" si="7"/>
        <v>154</v>
      </c>
      <c r="B195" s="48" t="s">
        <v>510</v>
      </c>
      <c r="C195" s="51" t="s">
        <v>511</v>
      </c>
      <c r="D195" s="51" t="s">
        <v>512</v>
      </c>
      <c r="E195" s="51">
        <v>8.299167188E9</v>
      </c>
      <c r="F195" s="48"/>
      <c r="G195" s="48"/>
      <c r="H195" s="48"/>
      <c r="I195" s="48"/>
      <c r="J195" s="48"/>
      <c r="K195" s="48"/>
      <c r="L195" s="50" t="s">
        <v>388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5">
        <f t="shared" si="7"/>
        <v>155</v>
      </c>
      <c r="B196" s="51" t="s">
        <v>513</v>
      </c>
      <c r="C196" s="51" t="s">
        <v>514</v>
      </c>
      <c r="D196" s="51" t="s">
        <v>515</v>
      </c>
      <c r="E196" s="51">
        <v>8.097096819E9</v>
      </c>
      <c r="F196" s="51"/>
      <c r="G196" s="51"/>
      <c r="H196" s="51"/>
      <c r="I196" s="51"/>
      <c r="J196" s="51"/>
      <c r="K196" s="51"/>
      <c r="L196" s="50" t="s">
        <v>388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35">
        <f t="shared" si="7"/>
        <v>156</v>
      </c>
      <c r="B197" s="51" t="s">
        <v>516</v>
      </c>
      <c r="C197" s="51" t="s">
        <v>517</v>
      </c>
      <c r="D197" s="51" t="s">
        <v>518</v>
      </c>
      <c r="E197" s="51">
        <v>8.498692227E9</v>
      </c>
      <c r="F197" s="51"/>
      <c r="G197" s="51"/>
      <c r="H197" s="51"/>
      <c r="I197" s="51"/>
      <c r="J197" s="51"/>
      <c r="K197" s="51"/>
      <c r="L197" s="50" t="s">
        <v>388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5">
        <f t="shared" si="7"/>
        <v>157</v>
      </c>
      <c r="B198" s="51" t="s">
        <v>519</v>
      </c>
      <c r="C198" s="51" t="s">
        <v>520</v>
      </c>
      <c r="D198" s="51" t="s">
        <v>521</v>
      </c>
      <c r="E198" s="51">
        <v>8.097526256E9</v>
      </c>
      <c r="F198" s="51"/>
      <c r="G198" s="51"/>
      <c r="H198" s="51"/>
      <c r="I198" s="51"/>
      <c r="J198" s="51"/>
      <c r="K198" s="51"/>
      <c r="L198" s="50" t="s">
        <v>388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32" t="s">
        <v>522</v>
      </c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 t="s">
        <v>3</v>
      </c>
      <c r="B200" s="7" t="s">
        <v>4</v>
      </c>
      <c r="C200" s="7" t="s">
        <v>5</v>
      </c>
      <c r="D200" s="7" t="s">
        <v>6</v>
      </c>
      <c r="E200" s="8" t="s">
        <v>7</v>
      </c>
      <c r="F200" s="8" t="s">
        <v>8</v>
      </c>
      <c r="G200" s="8" t="s">
        <v>9</v>
      </c>
      <c r="H200" s="8" t="s">
        <v>10</v>
      </c>
      <c r="I200" s="8" t="s">
        <v>11</v>
      </c>
      <c r="J200" s="8" t="s">
        <v>12</v>
      </c>
      <c r="K200" s="8" t="s">
        <v>13</v>
      </c>
      <c r="L200" s="8" t="s">
        <v>14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35">
        <f>+A198+1</f>
        <v>158</v>
      </c>
      <c r="B201" s="51" t="s">
        <v>523</v>
      </c>
      <c r="C201" s="51" t="s">
        <v>524</v>
      </c>
      <c r="D201" s="51"/>
      <c r="E201" s="51" t="s">
        <v>525</v>
      </c>
      <c r="F201" s="52"/>
      <c r="G201" s="52" t="s">
        <v>526</v>
      </c>
      <c r="H201" s="52" t="s">
        <v>172</v>
      </c>
      <c r="I201" s="52" t="s">
        <v>445</v>
      </c>
      <c r="J201" s="52" t="s">
        <v>445</v>
      </c>
      <c r="K201" s="52" t="s">
        <v>445</v>
      </c>
      <c r="L201" s="51" t="s">
        <v>527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5">
        <f t="shared" ref="A202:A242" si="8">+A201+1</f>
        <v>159</v>
      </c>
      <c r="B202" s="51" t="s">
        <v>528</v>
      </c>
      <c r="C202" s="51" t="s">
        <v>529</v>
      </c>
      <c r="D202" s="51"/>
      <c r="E202" s="51" t="s">
        <v>525</v>
      </c>
      <c r="F202" s="51"/>
      <c r="G202" s="52" t="s">
        <v>526</v>
      </c>
      <c r="H202" s="52" t="s">
        <v>172</v>
      </c>
      <c r="I202" s="52" t="s">
        <v>445</v>
      </c>
      <c r="J202" s="52" t="s">
        <v>445</v>
      </c>
      <c r="K202" s="52" t="s">
        <v>445</v>
      </c>
      <c r="L202" s="51" t="s">
        <v>527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35">
        <f t="shared" si="8"/>
        <v>160</v>
      </c>
      <c r="B203" s="51" t="s">
        <v>530</v>
      </c>
      <c r="C203" s="51" t="s">
        <v>531</v>
      </c>
      <c r="D203" s="51"/>
      <c r="E203" s="57" t="s">
        <v>532</v>
      </c>
      <c r="F203" s="51"/>
      <c r="G203" s="52" t="s">
        <v>526</v>
      </c>
      <c r="H203" s="52" t="s">
        <v>172</v>
      </c>
      <c r="I203" s="52" t="s">
        <v>445</v>
      </c>
      <c r="J203" s="52" t="s">
        <v>445</v>
      </c>
      <c r="K203" s="52" t="s">
        <v>445</v>
      </c>
      <c r="L203" s="51" t="s">
        <v>527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5">
        <f t="shared" si="8"/>
        <v>161</v>
      </c>
      <c r="B204" s="51" t="s">
        <v>533</v>
      </c>
      <c r="C204" s="51" t="s">
        <v>534</v>
      </c>
      <c r="D204" s="48"/>
      <c r="E204" s="51" t="s">
        <v>525</v>
      </c>
      <c r="F204" s="48"/>
      <c r="G204" s="52" t="s">
        <v>526</v>
      </c>
      <c r="H204" s="52" t="s">
        <v>172</v>
      </c>
      <c r="I204" s="52" t="s">
        <v>445</v>
      </c>
      <c r="J204" s="52" t="s">
        <v>445</v>
      </c>
      <c r="K204" s="52" t="s">
        <v>445</v>
      </c>
      <c r="L204" s="51" t="s">
        <v>527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35">
        <f t="shared" si="8"/>
        <v>162</v>
      </c>
      <c r="B205" s="51" t="s">
        <v>535</v>
      </c>
      <c r="C205" s="51" t="s">
        <v>536</v>
      </c>
      <c r="D205" s="51"/>
      <c r="E205" s="51" t="s">
        <v>525</v>
      </c>
      <c r="F205" s="51"/>
      <c r="G205" s="52" t="s">
        <v>526</v>
      </c>
      <c r="H205" s="52" t="s">
        <v>172</v>
      </c>
      <c r="I205" s="52" t="s">
        <v>445</v>
      </c>
      <c r="J205" s="52" t="s">
        <v>445</v>
      </c>
      <c r="K205" s="52" t="s">
        <v>445</v>
      </c>
      <c r="L205" s="51" t="s">
        <v>527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5">
        <f t="shared" si="8"/>
        <v>163</v>
      </c>
      <c r="B206" s="51" t="s">
        <v>537</v>
      </c>
      <c r="C206" s="51" t="s">
        <v>538</v>
      </c>
      <c r="D206" s="51"/>
      <c r="E206" s="51" t="str">
        <f t="shared" ref="E206:E209" si="9">$E$205</f>
        <v>(809) 960-4580</v>
      </c>
      <c r="F206" s="51"/>
      <c r="G206" s="52" t="s">
        <v>526</v>
      </c>
      <c r="H206" s="52" t="s">
        <v>172</v>
      </c>
      <c r="I206" s="52" t="s">
        <v>445</v>
      </c>
      <c r="J206" s="52" t="s">
        <v>445</v>
      </c>
      <c r="K206" s="52" t="s">
        <v>445</v>
      </c>
      <c r="L206" s="51" t="s">
        <v>527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35">
        <f t="shared" si="8"/>
        <v>164</v>
      </c>
      <c r="B207" s="51" t="s">
        <v>539</v>
      </c>
      <c r="C207" s="51" t="s">
        <v>540</v>
      </c>
      <c r="D207" s="51"/>
      <c r="E207" s="51" t="str">
        <f t="shared" si="9"/>
        <v>(809) 960-4580</v>
      </c>
      <c r="F207" s="51"/>
      <c r="G207" s="52" t="s">
        <v>526</v>
      </c>
      <c r="H207" s="52" t="s">
        <v>172</v>
      </c>
      <c r="I207" s="52" t="s">
        <v>445</v>
      </c>
      <c r="J207" s="52" t="s">
        <v>445</v>
      </c>
      <c r="K207" s="52" t="s">
        <v>445</v>
      </c>
      <c r="L207" s="51" t="s">
        <v>527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5">
        <f t="shared" si="8"/>
        <v>165</v>
      </c>
      <c r="B208" s="51" t="s">
        <v>541</v>
      </c>
      <c r="C208" s="51" t="s">
        <v>542</v>
      </c>
      <c r="D208" s="51"/>
      <c r="E208" s="51" t="str">
        <f t="shared" si="9"/>
        <v>(809) 960-4580</v>
      </c>
      <c r="F208" s="51"/>
      <c r="G208" s="52" t="s">
        <v>526</v>
      </c>
      <c r="H208" s="52" t="s">
        <v>172</v>
      </c>
      <c r="I208" s="52" t="s">
        <v>445</v>
      </c>
      <c r="J208" s="52" t="s">
        <v>445</v>
      </c>
      <c r="K208" s="52" t="s">
        <v>445</v>
      </c>
      <c r="L208" s="51" t="s">
        <v>527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35">
        <f t="shared" si="8"/>
        <v>166</v>
      </c>
      <c r="B209" s="58" t="s">
        <v>543</v>
      </c>
      <c r="C209" s="58" t="s">
        <v>544</v>
      </c>
      <c r="D209" s="58"/>
      <c r="E209" s="58" t="str">
        <f t="shared" si="9"/>
        <v>(809) 960-4580</v>
      </c>
      <c r="F209" s="51"/>
      <c r="G209" s="51"/>
      <c r="H209" s="51"/>
      <c r="I209" s="51"/>
      <c r="J209" s="51"/>
      <c r="K209" s="51"/>
      <c r="L209" s="51" t="s">
        <v>527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5">
        <f t="shared" si="8"/>
        <v>167</v>
      </c>
      <c r="B210" s="58" t="s">
        <v>545</v>
      </c>
      <c r="C210" s="58" t="s">
        <v>546</v>
      </c>
      <c r="D210" s="58"/>
      <c r="E210" s="58"/>
      <c r="F210" s="51"/>
      <c r="G210" s="51"/>
      <c r="H210" s="51"/>
      <c r="I210" s="51"/>
      <c r="J210" s="51"/>
      <c r="K210" s="51"/>
      <c r="L210" s="51" t="s">
        <v>527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35">
        <f t="shared" si="8"/>
        <v>168</v>
      </c>
      <c r="B211" s="58" t="s">
        <v>547</v>
      </c>
      <c r="C211" s="58" t="s">
        <v>548</v>
      </c>
      <c r="D211" s="58"/>
      <c r="E211" s="58"/>
      <c r="F211" s="51"/>
      <c r="G211" s="51"/>
      <c r="H211" s="51"/>
      <c r="I211" s="51"/>
      <c r="J211" s="51"/>
      <c r="K211" s="51"/>
      <c r="L211" s="51" t="s">
        <v>527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5">
        <f t="shared" si="8"/>
        <v>169</v>
      </c>
      <c r="B212" s="58" t="s">
        <v>549</v>
      </c>
      <c r="C212" s="58" t="s">
        <v>550</v>
      </c>
      <c r="D212" s="59"/>
      <c r="E212" s="58"/>
      <c r="F212" s="48"/>
      <c r="G212" s="48"/>
      <c r="H212" s="48"/>
      <c r="I212" s="48"/>
      <c r="J212" s="48"/>
      <c r="K212" s="48"/>
      <c r="L212" s="51" t="s">
        <v>527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35">
        <f t="shared" si="8"/>
        <v>170</v>
      </c>
      <c r="B213" s="58" t="s">
        <v>551</v>
      </c>
      <c r="C213" s="58" t="s">
        <v>552</v>
      </c>
      <c r="D213" s="58"/>
      <c r="E213" s="58"/>
      <c r="F213" s="51"/>
      <c r="G213" s="51"/>
      <c r="H213" s="51"/>
      <c r="I213" s="51"/>
      <c r="J213" s="51"/>
      <c r="K213" s="51"/>
      <c r="L213" s="51" t="s">
        <v>527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5">
        <f t="shared" si="8"/>
        <v>171</v>
      </c>
      <c r="B214" s="58" t="s">
        <v>553</v>
      </c>
      <c r="C214" s="58" t="s">
        <v>554</v>
      </c>
      <c r="D214" s="58"/>
      <c r="E214" s="58"/>
      <c r="F214" s="51"/>
      <c r="G214" s="51"/>
      <c r="H214" s="51"/>
      <c r="I214" s="51"/>
      <c r="J214" s="51"/>
      <c r="K214" s="51"/>
      <c r="L214" s="51" t="s">
        <v>527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35">
        <f t="shared" si="8"/>
        <v>172</v>
      </c>
      <c r="B215" s="58" t="s">
        <v>555</v>
      </c>
      <c r="C215" s="58" t="s">
        <v>556</v>
      </c>
      <c r="D215" s="58"/>
      <c r="E215" s="58"/>
      <c r="F215" s="51"/>
      <c r="G215" s="51"/>
      <c r="H215" s="51"/>
      <c r="I215" s="51"/>
      <c r="J215" s="51"/>
      <c r="K215" s="51"/>
      <c r="L215" s="51" t="s">
        <v>527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5">
        <f t="shared" si="8"/>
        <v>173</v>
      </c>
      <c r="B216" s="58" t="s">
        <v>557</v>
      </c>
      <c r="C216" s="58" t="s">
        <v>558</v>
      </c>
      <c r="D216" s="58"/>
      <c r="E216" s="58"/>
      <c r="F216" s="51"/>
      <c r="G216" s="51"/>
      <c r="H216" s="51"/>
      <c r="I216" s="51"/>
      <c r="J216" s="51"/>
      <c r="K216" s="51"/>
      <c r="L216" s="51" t="s">
        <v>527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35">
        <f t="shared" si="8"/>
        <v>174</v>
      </c>
      <c r="B217" s="58" t="s">
        <v>559</v>
      </c>
      <c r="C217" s="58" t="s">
        <v>560</v>
      </c>
      <c r="D217" s="58"/>
      <c r="E217" s="58" t="str">
        <f t="shared" ref="E217:E220" si="10">$E$205</f>
        <v>(809) 960-4580</v>
      </c>
      <c r="F217" s="51"/>
      <c r="G217" s="51"/>
      <c r="H217" s="51"/>
      <c r="I217" s="51"/>
      <c r="J217" s="51"/>
      <c r="K217" s="51"/>
      <c r="L217" s="51" t="s">
        <v>527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5">
        <f t="shared" si="8"/>
        <v>175</v>
      </c>
      <c r="B218" s="58" t="s">
        <v>561</v>
      </c>
      <c r="C218" s="58" t="s">
        <v>562</v>
      </c>
      <c r="D218" s="58"/>
      <c r="E218" s="58" t="str">
        <f t="shared" si="10"/>
        <v>(809) 960-4580</v>
      </c>
      <c r="F218" s="51"/>
      <c r="G218" s="51"/>
      <c r="H218" s="51"/>
      <c r="I218" s="51"/>
      <c r="J218" s="51"/>
      <c r="K218" s="51"/>
      <c r="L218" s="51" t="s">
        <v>527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35">
        <f t="shared" si="8"/>
        <v>176</v>
      </c>
      <c r="B219" s="58" t="s">
        <v>563</v>
      </c>
      <c r="C219" s="58" t="s">
        <v>564</v>
      </c>
      <c r="D219" s="58"/>
      <c r="E219" s="58" t="str">
        <f t="shared" si="10"/>
        <v>(809) 960-4580</v>
      </c>
      <c r="F219" s="51"/>
      <c r="G219" s="51"/>
      <c r="H219" s="51"/>
      <c r="I219" s="51"/>
      <c r="J219" s="51"/>
      <c r="K219" s="51"/>
      <c r="L219" s="51" t="s">
        <v>527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5">
        <f t="shared" si="8"/>
        <v>177</v>
      </c>
      <c r="B220" s="58" t="s">
        <v>565</v>
      </c>
      <c r="C220" s="58" t="s">
        <v>566</v>
      </c>
      <c r="D220" s="59"/>
      <c r="E220" s="58" t="str">
        <f t="shared" si="10"/>
        <v>(809) 960-4580</v>
      </c>
      <c r="F220" s="48"/>
      <c r="G220" s="48"/>
      <c r="H220" s="48"/>
      <c r="I220" s="48"/>
      <c r="J220" s="48"/>
      <c r="K220" s="48"/>
      <c r="L220" s="51" t="s">
        <v>527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35">
        <f t="shared" si="8"/>
        <v>178</v>
      </c>
      <c r="B221" s="51" t="s">
        <v>567</v>
      </c>
      <c r="C221" s="51" t="s">
        <v>568</v>
      </c>
      <c r="D221" s="51"/>
      <c r="E221" s="51" t="s">
        <v>569</v>
      </c>
      <c r="F221" s="51"/>
      <c r="G221" s="52" t="s">
        <v>570</v>
      </c>
      <c r="H221" s="51"/>
      <c r="I221" s="51"/>
      <c r="J221" s="51"/>
      <c r="K221" s="51"/>
      <c r="L221" s="51" t="s">
        <v>527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5">
        <f t="shared" si="8"/>
        <v>179</v>
      </c>
      <c r="B222" s="51" t="s">
        <v>571</v>
      </c>
      <c r="C222" s="51" t="s">
        <v>572</v>
      </c>
      <c r="D222" s="51"/>
      <c r="E222" s="52">
        <v>8.097312617E9</v>
      </c>
      <c r="F222" s="51"/>
      <c r="G222" s="51"/>
      <c r="H222" s="51"/>
      <c r="I222" s="51"/>
      <c r="J222" s="51"/>
      <c r="K222" s="51"/>
      <c r="L222" s="51" t="s">
        <v>527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35">
        <f t="shared" si="8"/>
        <v>180</v>
      </c>
      <c r="B223" s="51" t="s">
        <v>573</v>
      </c>
      <c r="C223" s="51" t="s">
        <v>574</v>
      </c>
      <c r="D223" s="51"/>
      <c r="E223" s="52" t="s">
        <v>575</v>
      </c>
      <c r="F223" s="51"/>
      <c r="G223" s="51"/>
      <c r="H223" s="51"/>
      <c r="I223" s="51"/>
      <c r="J223" s="51"/>
      <c r="K223" s="51"/>
      <c r="L223" s="51" t="s">
        <v>527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5">
        <f t="shared" si="8"/>
        <v>181</v>
      </c>
      <c r="B224" s="51" t="s">
        <v>576</v>
      </c>
      <c r="C224" s="51" t="s">
        <v>577</v>
      </c>
      <c r="D224" s="51"/>
      <c r="E224" s="52" t="s">
        <v>578</v>
      </c>
      <c r="F224" s="51"/>
      <c r="G224" s="51"/>
      <c r="H224" s="51"/>
      <c r="I224" s="51"/>
      <c r="J224" s="51"/>
      <c r="K224" s="51"/>
      <c r="L224" s="51" t="s">
        <v>527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35">
        <f t="shared" si="8"/>
        <v>182</v>
      </c>
      <c r="B225" s="51" t="s">
        <v>579</v>
      </c>
      <c r="C225" s="51" t="s">
        <v>580</v>
      </c>
      <c r="D225" s="51"/>
      <c r="E225" s="52">
        <v>8.093902292E9</v>
      </c>
      <c r="F225" s="51"/>
      <c r="G225" s="51"/>
      <c r="H225" s="51"/>
      <c r="I225" s="51"/>
      <c r="J225" s="51"/>
      <c r="K225" s="51"/>
      <c r="L225" s="51" t="s">
        <v>527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5">
        <f t="shared" si="8"/>
        <v>183</v>
      </c>
      <c r="B226" s="51" t="s">
        <v>581</v>
      </c>
      <c r="C226" s="51" t="s">
        <v>582</v>
      </c>
      <c r="D226" s="51"/>
      <c r="E226" s="52">
        <v>8.09330888E9</v>
      </c>
      <c r="F226" s="51"/>
      <c r="G226" s="51"/>
      <c r="H226" s="51"/>
      <c r="I226" s="51"/>
      <c r="J226" s="51"/>
      <c r="K226" s="51"/>
      <c r="L226" s="51" t="s">
        <v>527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35">
        <f t="shared" si="8"/>
        <v>184</v>
      </c>
      <c r="B227" s="51" t="s">
        <v>583</v>
      </c>
      <c r="C227" s="51" t="s">
        <v>584</v>
      </c>
      <c r="D227" s="51"/>
      <c r="E227" s="60" t="s">
        <v>585</v>
      </c>
      <c r="F227" s="51"/>
      <c r="G227" s="52" t="s">
        <v>586</v>
      </c>
      <c r="H227" s="51"/>
      <c r="I227" s="51"/>
      <c r="J227" s="51"/>
      <c r="K227" s="51"/>
      <c r="L227" s="51" t="s">
        <v>527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5">
        <f t="shared" si="8"/>
        <v>185</v>
      </c>
      <c r="B228" s="51" t="s">
        <v>587</v>
      </c>
      <c r="C228" s="51" t="s">
        <v>588</v>
      </c>
      <c r="D228" s="51"/>
      <c r="E228" s="52">
        <v>8.099833339E9</v>
      </c>
      <c r="F228" s="51"/>
      <c r="G228" s="51"/>
      <c r="H228" s="51"/>
      <c r="I228" s="51"/>
      <c r="J228" s="51"/>
      <c r="K228" s="51"/>
      <c r="L228" s="51" t="s">
        <v>527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35">
        <f t="shared" si="8"/>
        <v>186</v>
      </c>
      <c r="B229" s="51" t="s">
        <v>589</v>
      </c>
      <c r="C229" s="51" t="s">
        <v>590</v>
      </c>
      <c r="D229" s="51"/>
      <c r="E229" s="51" t="s">
        <v>591</v>
      </c>
      <c r="F229" s="51"/>
      <c r="G229" s="52" t="s">
        <v>570</v>
      </c>
      <c r="H229" s="51"/>
      <c r="I229" s="51"/>
      <c r="J229" s="51"/>
      <c r="K229" s="51"/>
      <c r="L229" s="51" t="s">
        <v>527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5">
        <f t="shared" si="8"/>
        <v>187</v>
      </c>
      <c r="B230" s="51" t="s">
        <v>589</v>
      </c>
      <c r="C230" s="51" t="s">
        <v>592</v>
      </c>
      <c r="D230" s="51"/>
      <c r="E230" s="51" t="s">
        <v>591</v>
      </c>
      <c r="F230" s="51"/>
      <c r="G230" s="52" t="s">
        <v>570</v>
      </c>
      <c r="H230" s="51"/>
      <c r="I230" s="51"/>
      <c r="J230" s="51"/>
      <c r="K230" s="51"/>
      <c r="L230" s="51" t="s">
        <v>527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35">
        <f t="shared" si="8"/>
        <v>188</v>
      </c>
      <c r="B231" s="51" t="s">
        <v>593</v>
      </c>
      <c r="C231" s="51" t="s">
        <v>594</v>
      </c>
      <c r="D231" s="51"/>
      <c r="E231" s="51" t="s">
        <v>525</v>
      </c>
      <c r="F231" s="51"/>
      <c r="G231" s="52" t="s">
        <v>526</v>
      </c>
      <c r="H231" s="52" t="s">
        <v>172</v>
      </c>
      <c r="I231" s="52" t="s">
        <v>445</v>
      </c>
      <c r="J231" s="52" t="s">
        <v>445</v>
      </c>
      <c r="K231" s="52" t="s">
        <v>445</v>
      </c>
      <c r="L231" s="51" t="s">
        <v>527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5">
        <f t="shared" si="8"/>
        <v>189</v>
      </c>
      <c r="B232" s="51" t="s">
        <v>595</v>
      </c>
      <c r="C232" s="51" t="s">
        <v>596</v>
      </c>
      <c r="D232" s="51"/>
      <c r="E232" s="52">
        <v>8.098012224E9</v>
      </c>
      <c r="F232" s="51"/>
      <c r="G232" s="51"/>
      <c r="H232" s="51"/>
      <c r="I232" s="51"/>
      <c r="J232" s="51"/>
      <c r="K232" s="51"/>
      <c r="L232" s="51" t="s">
        <v>527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35">
        <f t="shared" si="8"/>
        <v>190</v>
      </c>
      <c r="B233" s="51" t="s">
        <v>567</v>
      </c>
      <c r="C233" s="51" t="s">
        <v>597</v>
      </c>
      <c r="D233" s="51"/>
      <c r="E233" s="51" t="s">
        <v>569</v>
      </c>
      <c r="F233" s="51"/>
      <c r="G233" s="52" t="s">
        <v>570</v>
      </c>
      <c r="H233" s="51"/>
      <c r="I233" s="51"/>
      <c r="J233" s="51"/>
      <c r="K233" s="51"/>
      <c r="L233" s="51" t="s">
        <v>527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5">
        <f t="shared" si="8"/>
        <v>191</v>
      </c>
      <c r="B234" s="51" t="s">
        <v>567</v>
      </c>
      <c r="C234" s="51" t="s">
        <v>598</v>
      </c>
      <c r="D234" s="51"/>
      <c r="E234" s="51" t="s">
        <v>569</v>
      </c>
      <c r="F234" s="51"/>
      <c r="G234" s="52" t="s">
        <v>570</v>
      </c>
      <c r="H234" s="51"/>
      <c r="I234" s="51"/>
      <c r="J234" s="51"/>
      <c r="K234" s="51"/>
      <c r="L234" s="51" t="s">
        <v>527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35">
        <f t="shared" si="8"/>
        <v>192</v>
      </c>
      <c r="B235" s="51" t="s">
        <v>567</v>
      </c>
      <c r="C235" s="51" t="s">
        <v>599</v>
      </c>
      <c r="D235" s="51"/>
      <c r="E235" s="51" t="s">
        <v>569</v>
      </c>
      <c r="F235" s="51"/>
      <c r="G235" s="52" t="s">
        <v>570</v>
      </c>
      <c r="H235" s="51"/>
      <c r="I235" s="51"/>
      <c r="J235" s="51"/>
      <c r="K235" s="51"/>
      <c r="L235" s="51" t="s">
        <v>527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5">
        <f t="shared" si="8"/>
        <v>193</v>
      </c>
      <c r="B236" s="51" t="s">
        <v>567</v>
      </c>
      <c r="C236" s="51" t="s">
        <v>600</v>
      </c>
      <c r="D236" s="51"/>
      <c r="E236" s="51" t="s">
        <v>569</v>
      </c>
      <c r="F236" s="51"/>
      <c r="G236" s="52" t="s">
        <v>570</v>
      </c>
      <c r="H236" s="51"/>
      <c r="I236" s="51"/>
      <c r="J236" s="51"/>
      <c r="K236" s="51"/>
      <c r="L236" s="51" t="s">
        <v>527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35">
        <f t="shared" si="8"/>
        <v>194</v>
      </c>
      <c r="B237" s="51" t="s">
        <v>567</v>
      </c>
      <c r="C237" s="51" t="s">
        <v>601</v>
      </c>
      <c r="D237" s="51"/>
      <c r="E237" s="51" t="s">
        <v>569</v>
      </c>
      <c r="F237" s="51"/>
      <c r="G237" s="52" t="s">
        <v>570</v>
      </c>
      <c r="H237" s="51"/>
      <c r="I237" s="51"/>
      <c r="J237" s="51"/>
      <c r="K237" s="51"/>
      <c r="L237" s="51" t="s">
        <v>527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5">
        <f t="shared" si="8"/>
        <v>195</v>
      </c>
      <c r="B238" s="51" t="s">
        <v>567</v>
      </c>
      <c r="C238" s="51" t="s">
        <v>602</v>
      </c>
      <c r="D238" s="51"/>
      <c r="E238" s="51" t="s">
        <v>569</v>
      </c>
      <c r="F238" s="51"/>
      <c r="G238" s="52" t="s">
        <v>570</v>
      </c>
      <c r="H238" s="51"/>
      <c r="I238" s="51"/>
      <c r="J238" s="51"/>
      <c r="K238" s="51"/>
      <c r="L238" s="51" t="s">
        <v>527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35">
        <f t="shared" si="8"/>
        <v>196</v>
      </c>
      <c r="B239" s="51" t="s">
        <v>567</v>
      </c>
      <c r="C239" s="51" t="s">
        <v>603</v>
      </c>
      <c r="D239" s="48"/>
      <c r="E239" s="51" t="s">
        <v>569</v>
      </c>
      <c r="F239" s="48"/>
      <c r="G239" s="52" t="s">
        <v>570</v>
      </c>
      <c r="H239" s="48"/>
      <c r="I239" s="48"/>
      <c r="J239" s="48"/>
      <c r="K239" s="48"/>
      <c r="L239" s="51" t="s">
        <v>527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5">
        <f t="shared" si="8"/>
        <v>197</v>
      </c>
      <c r="B240" s="51" t="s">
        <v>604</v>
      </c>
      <c r="C240" s="51" t="s">
        <v>605</v>
      </c>
      <c r="D240" s="51"/>
      <c r="E240" s="51" t="s">
        <v>569</v>
      </c>
      <c r="F240" s="51"/>
      <c r="G240" s="52" t="s">
        <v>570</v>
      </c>
      <c r="H240" s="51"/>
      <c r="I240" s="51"/>
      <c r="J240" s="51"/>
      <c r="K240" s="51"/>
      <c r="L240" s="51" t="s">
        <v>527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35">
        <f t="shared" si="8"/>
        <v>198</v>
      </c>
      <c r="B241" s="51" t="s">
        <v>604</v>
      </c>
      <c r="C241" s="51" t="s">
        <v>606</v>
      </c>
      <c r="D241" s="51"/>
      <c r="E241" s="51" t="s">
        <v>569</v>
      </c>
      <c r="F241" s="51"/>
      <c r="G241" s="52" t="s">
        <v>570</v>
      </c>
      <c r="H241" s="51"/>
      <c r="I241" s="51"/>
      <c r="J241" s="51"/>
      <c r="K241" s="51"/>
      <c r="L241" s="51" t="s">
        <v>527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5">
        <f t="shared" si="8"/>
        <v>199</v>
      </c>
      <c r="B242" s="51" t="s">
        <v>604</v>
      </c>
      <c r="C242" s="51" t="s">
        <v>607</v>
      </c>
      <c r="D242" s="51"/>
      <c r="E242" s="51" t="s">
        <v>569</v>
      </c>
      <c r="F242" s="51"/>
      <c r="G242" s="52" t="s">
        <v>570</v>
      </c>
      <c r="H242" s="51"/>
      <c r="I242" s="51"/>
      <c r="J242" s="51"/>
      <c r="K242" s="51"/>
      <c r="L242" s="51" t="s">
        <v>527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61" t="s">
        <v>608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6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 t="s">
        <v>3</v>
      </c>
      <c r="B244" s="7" t="s">
        <v>4</v>
      </c>
      <c r="C244" s="7" t="s">
        <v>5</v>
      </c>
      <c r="D244" s="7" t="s">
        <v>6</v>
      </c>
      <c r="E244" s="8" t="s">
        <v>7</v>
      </c>
      <c r="F244" s="8" t="s">
        <v>8</v>
      </c>
      <c r="G244" s="8" t="s">
        <v>9</v>
      </c>
      <c r="H244" s="8" t="s">
        <v>10</v>
      </c>
      <c r="I244" s="8" t="s">
        <v>11</v>
      </c>
      <c r="J244" s="8" t="s">
        <v>12</v>
      </c>
      <c r="K244" s="8" t="s">
        <v>13</v>
      </c>
      <c r="L244" s="8" t="s">
        <v>14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35">
        <f>+A242+1</f>
        <v>200</v>
      </c>
      <c r="B245" s="51" t="s">
        <v>609</v>
      </c>
      <c r="C245" s="48" t="s">
        <v>610</v>
      </c>
      <c r="D245" s="48"/>
      <c r="E245" s="63" t="s">
        <v>611</v>
      </c>
      <c r="F245" s="64" t="s">
        <v>172</v>
      </c>
      <c r="G245" s="64" t="s">
        <v>612</v>
      </c>
      <c r="H245" s="64" t="s">
        <v>172</v>
      </c>
      <c r="I245" s="64" t="s">
        <v>445</v>
      </c>
      <c r="J245" s="64" t="s">
        <v>445</v>
      </c>
      <c r="K245" s="64" t="s">
        <v>445</v>
      </c>
      <c r="L245" s="51" t="s">
        <v>613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5">
        <f t="shared" ref="A246:A249" si="11">+A245+1</f>
        <v>201</v>
      </c>
      <c r="B246" s="51" t="s">
        <v>614</v>
      </c>
      <c r="C246" s="51" t="s">
        <v>615</v>
      </c>
      <c r="D246" s="51"/>
      <c r="E246" s="63" t="s">
        <v>616</v>
      </c>
      <c r="F246" s="65" t="s">
        <v>445</v>
      </c>
      <c r="G246" s="65" t="s">
        <v>570</v>
      </c>
      <c r="H246" s="66"/>
      <c r="I246" s="66"/>
      <c r="J246" s="66"/>
      <c r="K246" s="66"/>
      <c r="L246" s="51" t="s">
        <v>613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35">
        <f t="shared" si="11"/>
        <v>202</v>
      </c>
      <c r="B247" s="51" t="s">
        <v>609</v>
      </c>
      <c r="C247" s="67" t="s">
        <v>610</v>
      </c>
      <c r="D247" s="68"/>
      <c r="E247" s="69" t="s">
        <v>611</v>
      </c>
      <c r="F247" s="66"/>
      <c r="G247" s="66"/>
      <c r="H247" s="66"/>
      <c r="I247" s="66"/>
      <c r="J247" s="66"/>
      <c r="K247" s="66"/>
      <c r="L247" s="51" t="s">
        <v>613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5">
        <f t="shared" si="11"/>
        <v>203</v>
      </c>
      <c r="B248" s="51" t="s">
        <v>617</v>
      </c>
      <c r="C248" s="51" t="s">
        <v>618</v>
      </c>
      <c r="D248" s="51"/>
      <c r="E248" s="63" t="s">
        <v>619</v>
      </c>
      <c r="F248" s="65" t="s">
        <v>445</v>
      </c>
      <c r="G248" s="65" t="s">
        <v>620</v>
      </c>
      <c r="H248" s="66"/>
      <c r="I248" s="66"/>
      <c r="J248" s="66"/>
      <c r="K248" s="66"/>
      <c r="L248" s="51" t="s">
        <v>613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35">
        <f t="shared" si="11"/>
        <v>204</v>
      </c>
      <c r="B249" s="51" t="s">
        <v>621</v>
      </c>
      <c r="C249" s="48" t="s">
        <v>622</v>
      </c>
      <c r="D249" s="48"/>
      <c r="E249" s="63" t="s">
        <v>623</v>
      </c>
      <c r="F249" s="64" t="s">
        <v>445</v>
      </c>
      <c r="G249" s="64" t="s">
        <v>620</v>
      </c>
      <c r="H249" s="70"/>
      <c r="I249" s="70"/>
      <c r="J249" s="70"/>
      <c r="K249" s="70"/>
      <c r="L249" s="51" t="s">
        <v>613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5">
        <f t="shared" ref="A250:A280" si="12">+A247+1</f>
        <v>203</v>
      </c>
      <c r="B250" s="51" t="s">
        <v>624</v>
      </c>
      <c r="C250" s="51" t="s">
        <v>625</v>
      </c>
      <c r="D250" s="51"/>
      <c r="E250" s="63" t="s">
        <v>626</v>
      </c>
      <c r="F250" s="65" t="s">
        <v>172</v>
      </c>
      <c r="G250" s="65" t="s">
        <v>612</v>
      </c>
      <c r="H250" s="65" t="s">
        <v>172</v>
      </c>
      <c r="I250" s="65" t="s">
        <v>445</v>
      </c>
      <c r="J250" s="65" t="s">
        <v>445</v>
      </c>
      <c r="K250" s="65" t="s">
        <v>445</v>
      </c>
      <c r="L250" s="51" t="s">
        <v>613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35">
        <f t="shared" si="12"/>
        <v>204</v>
      </c>
      <c r="B251" s="48" t="s">
        <v>627</v>
      </c>
      <c r="C251" s="51" t="s">
        <v>628</v>
      </c>
      <c r="D251" s="51"/>
      <c r="E251" s="63" t="s">
        <v>629</v>
      </c>
      <c r="F251" s="65" t="s">
        <v>445</v>
      </c>
      <c r="G251" s="65" t="s">
        <v>620</v>
      </c>
      <c r="H251" s="66"/>
      <c r="I251" s="66"/>
      <c r="J251" s="66"/>
      <c r="K251" s="66"/>
      <c r="L251" s="51" t="s">
        <v>613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5">
        <f t="shared" si="12"/>
        <v>205</v>
      </c>
      <c r="B252" s="51" t="s">
        <v>630</v>
      </c>
      <c r="C252" s="51" t="s">
        <v>631</v>
      </c>
      <c r="D252" s="51"/>
      <c r="E252" s="63" t="s">
        <v>632</v>
      </c>
      <c r="F252" s="65" t="s">
        <v>172</v>
      </c>
      <c r="G252" s="65" t="s">
        <v>612</v>
      </c>
      <c r="H252" s="65" t="s">
        <v>172</v>
      </c>
      <c r="I252" s="65" t="s">
        <v>445</v>
      </c>
      <c r="J252" s="65" t="s">
        <v>445</v>
      </c>
      <c r="K252" s="65" t="s">
        <v>445</v>
      </c>
      <c r="L252" s="51" t="s">
        <v>613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35">
        <f t="shared" si="12"/>
        <v>204</v>
      </c>
      <c r="B253" s="51" t="str">
        <f>[2]PROYECTOS!D14</f>
        <v>#ERROR!</v>
      </c>
      <c r="C253" s="48" t="s">
        <v>633</v>
      </c>
      <c r="D253" s="48"/>
      <c r="E253" s="63" t="s">
        <v>634</v>
      </c>
      <c r="F253" s="64" t="s">
        <v>445</v>
      </c>
      <c r="G253" s="64" t="s">
        <v>620</v>
      </c>
      <c r="H253" s="70"/>
      <c r="I253" s="70"/>
      <c r="J253" s="70"/>
      <c r="K253" s="70"/>
      <c r="L253" s="51" t="s">
        <v>613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5">
        <f t="shared" si="12"/>
        <v>205</v>
      </c>
      <c r="B254" s="51" t="str">
        <f>[2]PROYECTOS!D15</f>
        <v>#ERROR!</v>
      </c>
      <c r="C254" s="71" t="s">
        <v>628</v>
      </c>
      <c r="D254" s="71"/>
      <c r="E254" s="72" t="s">
        <v>629</v>
      </c>
      <c r="F254" s="73" t="s">
        <v>172</v>
      </c>
      <c r="G254" s="73" t="s">
        <v>612</v>
      </c>
      <c r="H254" s="65" t="s">
        <v>172</v>
      </c>
      <c r="I254" s="65" t="s">
        <v>172</v>
      </c>
      <c r="J254" s="65" t="s">
        <v>172</v>
      </c>
      <c r="K254" s="65" t="s">
        <v>172</v>
      </c>
      <c r="L254" s="51" t="s">
        <v>613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35">
        <f t="shared" si="12"/>
        <v>206</v>
      </c>
      <c r="B255" s="51" t="str">
        <f>[2]PROYECTOS!D16</f>
        <v>#ERROR!</v>
      </c>
      <c r="C255" s="51" t="s">
        <v>635</v>
      </c>
      <c r="D255" s="51"/>
      <c r="E255" s="63" t="s">
        <v>636</v>
      </c>
      <c r="F255" s="65" t="s">
        <v>172</v>
      </c>
      <c r="G255" s="65" t="s">
        <v>637</v>
      </c>
      <c r="H255" s="65" t="s">
        <v>638</v>
      </c>
      <c r="I255" s="65" t="s">
        <v>445</v>
      </c>
      <c r="J255" s="65" t="s">
        <v>445</v>
      </c>
      <c r="K255" s="65" t="s">
        <v>445</v>
      </c>
      <c r="L255" s="51" t="s">
        <v>613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5">
        <f t="shared" si="12"/>
        <v>205</v>
      </c>
      <c r="B256" s="51" t="str">
        <f>[2]PROYECTOS!D17</f>
        <v>#ERROR!</v>
      </c>
      <c r="C256" s="51" t="s">
        <v>639</v>
      </c>
      <c r="D256" s="51"/>
      <c r="E256" s="63" t="s">
        <v>640</v>
      </c>
      <c r="F256" s="65" t="s">
        <v>172</v>
      </c>
      <c r="G256" s="65" t="s">
        <v>637</v>
      </c>
      <c r="H256" s="65" t="s">
        <v>172</v>
      </c>
      <c r="I256" s="65" t="s">
        <v>172</v>
      </c>
      <c r="J256" s="66"/>
      <c r="K256" s="66"/>
      <c r="L256" s="51" t="s">
        <v>613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35">
        <f t="shared" si="12"/>
        <v>206</v>
      </c>
      <c r="B257" s="51" t="str">
        <f>[2]PROYECTOS!D18</f>
        <v>#ERROR!</v>
      </c>
      <c r="C257" s="74" t="s">
        <v>633</v>
      </c>
      <c r="D257" s="74"/>
      <c r="E257" s="75" t="s">
        <v>634</v>
      </c>
      <c r="F257" s="70"/>
      <c r="G257" s="70"/>
      <c r="H257" s="70"/>
      <c r="I257" s="70"/>
      <c r="J257" s="70"/>
      <c r="K257" s="70"/>
      <c r="L257" s="51" t="s">
        <v>613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5">
        <f t="shared" si="12"/>
        <v>207</v>
      </c>
      <c r="B258" s="48" t="str">
        <f>[2]PROYECTOS!D19</f>
        <v>#ERROR!</v>
      </c>
      <c r="C258" s="51" t="s">
        <v>641</v>
      </c>
      <c r="D258" s="51"/>
      <c r="E258" s="63" t="s">
        <v>120</v>
      </c>
      <c r="F258" s="65" t="s">
        <v>172</v>
      </c>
      <c r="G258" s="65" t="s">
        <v>642</v>
      </c>
      <c r="H258" s="65" t="s">
        <v>445</v>
      </c>
      <c r="I258" s="65" t="s">
        <v>445</v>
      </c>
      <c r="J258" s="65" t="s">
        <v>445</v>
      </c>
      <c r="K258" s="65" t="s">
        <v>445</v>
      </c>
      <c r="L258" s="51" t="s">
        <v>613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35">
        <f t="shared" si="12"/>
        <v>206</v>
      </c>
      <c r="B259" s="51" t="s">
        <v>643</v>
      </c>
      <c r="C259" s="51" t="s">
        <v>644</v>
      </c>
      <c r="D259" s="51" t="s">
        <v>645</v>
      </c>
      <c r="E259" s="63" t="s">
        <v>646</v>
      </c>
      <c r="F259" s="65" t="s">
        <v>172</v>
      </c>
      <c r="G259" s="65" t="s">
        <v>647</v>
      </c>
      <c r="H259" s="66"/>
      <c r="I259" s="66"/>
      <c r="J259" s="66"/>
      <c r="K259" s="66"/>
      <c r="L259" s="51" t="s">
        <v>613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5">
        <f t="shared" si="12"/>
        <v>207</v>
      </c>
      <c r="B260" s="51" t="s">
        <v>648</v>
      </c>
      <c r="C260" s="51" t="s">
        <v>649</v>
      </c>
      <c r="D260" s="51" t="s">
        <v>650</v>
      </c>
      <c r="E260" s="51"/>
      <c r="F260" s="66"/>
      <c r="G260" s="66"/>
      <c r="H260" s="66"/>
      <c r="I260" s="66"/>
      <c r="J260" s="66"/>
      <c r="K260" s="66"/>
      <c r="L260" s="51" t="s">
        <v>613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35">
        <f t="shared" si="12"/>
        <v>208</v>
      </c>
      <c r="B261" s="51" t="s">
        <v>648</v>
      </c>
      <c r="C261" s="48" t="s">
        <v>651</v>
      </c>
      <c r="D261" s="48" t="s">
        <v>652</v>
      </c>
      <c r="E261" s="48"/>
      <c r="F261" s="64"/>
      <c r="G261" s="64"/>
      <c r="H261" s="70"/>
      <c r="I261" s="70"/>
      <c r="J261" s="70"/>
      <c r="K261" s="70"/>
      <c r="L261" s="51" t="s">
        <v>613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5">
        <f t="shared" si="12"/>
        <v>207</v>
      </c>
      <c r="B262" s="51" t="s">
        <v>653</v>
      </c>
      <c r="C262" s="51" t="s">
        <v>654</v>
      </c>
      <c r="D262" s="51"/>
      <c r="E262" s="51" t="s">
        <v>655</v>
      </c>
      <c r="F262" s="66"/>
      <c r="G262" s="66"/>
      <c r="H262" s="66"/>
      <c r="I262" s="66"/>
      <c r="J262" s="66"/>
      <c r="K262" s="66"/>
      <c r="L262" s="51" t="s">
        <v>613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35">
        <f t="shared" si="12"/>
        <v>208</v>
      </c>
      <c r="B263" s="51" t="s">
        <v>656</v>
      </c>
      <c r="C263" s="51" t="s">
        <v>657</v>
      </c>
      <c r="D263" s="51"/>
      <c r="E263" s="51" t="s">
        <v>658</v>
      </c>
      <c r="F263" s="65" t="s">
        <v>445</v>
      </c>
      <c r="G263" s="65" t="s">
        <v>659</v>
      </c>
      <c r="H263" s="66"/>
      <c r="I263" s="66"/>
      <c r="J263" s="66"/>
      <c r="K263" s="66"/>
      <c r="L263" s="51" t="s">
        <v>613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35">
        <f t="shared" si="12"/>
        <v>209</v>
      </c>
      <c r="B264" s="51" t="s">
        <v>660</v>
      </c>
      <c r="C264" s="51" t="s">
        <v>661</v>
      </c>
      <c r="D264" s="51"/>
      <c r="E264" s="51" t="s">
        <v>662</v>
      </c>
      <c r="F264" s="66"/>
      <c r="G264" s="66"/>
      <c r="H264" s="66"/>
      <c r="I264" s="66"/>
      <c r="J264" s="66"/>
      <c r="K264" s="66"/>
      <c r="L264" s="51" t="s">
        <v>613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35">
        <f t="shared" si="12"/>
        <v>208</v>
      </c>
      <c r="B265" s="48" t="s">
        <v>663</v>
      </c>
      <c r="C265" s="48" t="s">
        <v>664</v>
      </c>
      <c r="D265" s="48"/>
      <c r="E265" s="48" t="s">
        <v>665</v>
      </c>
      <c r="F265" s="64" t="s">
        <v>172</v>
      </c>
      <c r="G265" s="64" t="s">
        <v>647</v>
      </c>
      <c r="H265" s="70"/>
      <c r="I265" s="70"/>
      <c r="J265" s="70"/>
      <c r="K265" s="70"/>
      <c r="L265" s="51" t="s">
        <v>613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35">
        <f t="shared" si="12"/>
        <v>209</v>
      </c>
      <c r="B266" s="51" t="s">
        <v>666</v>
      </c>
      <c r="C266" s="51" t="s">
        <v>667</v>
      </c>
      <c r="D266" s="51"/>
      <c r="E266" s="51" t="s">
        <v>668</v>
      </c>
      <c r="F266" s="65" t="s">
        <v>445</v>
      </c>
      <c r="G266" s="66"/>
      <c r="H266" s="66"/>
      <c r="I266" s="66"/>
      <c r="J266" s="66"/>
      <c r="K266" s="66"/>
      <c r="L266" s="51" t="s">
        <v>613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35">
        <f t="shared" si="12"/>
        <v>210</v>
      </c>
      <c r="B267" s="51" t="s">
        <v>656</v>
      </c>
      <c r="C267" s="51" t="s">
        <v>657</v>
      </c>
      <c r="D267" s="51"/>
      <c r="E267" s="51" t="s">
        <v>658</v>
      </c>
      <c r="F267" s="65" t="s">
        <v>445</v>
      </c>
      <c r="G267" s="66"/>
      <c r="H267" s="66"/>
      <c r="I267" s="66"/>
      <c r="J267" s="66"/>
      <c r="K267" s="66"/>
      <c r="L267" s="51" t="s">
        <v>613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35">
        <f t="shared" si="12"/>
        <v>209</v>
      </c>
      <c r="B268" s="51" t="s">
        <v>669</v>
      </c>
      <c r="C268" s="51" t="s">
        <v>670</v>
      </c>
      <c r="D268" s="51"/>
      <c r="E268" s="51" t="s">
        <v>671</v>
      </c>
      <c r="F268" s="65" t="s">
        <v>445</v>
      </c>
      <c r="G268" s="66"/>
      <c r="H268" s="66"/>
      <c r="I268" s="66"/>
      <c r="J268" s="66"/>
      <c r="K268" s="66"/>
      <c r="L268" s="51" t="s">
        <v>613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35">
        <f t="shared" si="12"/>
        <v>210</v>
      </c>
      <c r="B269" s="51" t="s">
        <v>672</v>
      </c>
      <c r="C269" s="48" t="s">
        <v>673</v>
      </c>
      <c r="D269" s="48"/>
      <c r="E269" s="48" t="s">
        <v>674</v>
      </c>
      <c r="F269" s="64" t="s">
        <v>445</v>
      </c>
      <c r="G269" s="70"/>
      <c r="H269" s="70"/>
      <c r="I269" s="70"/>
      <c r="J269" s="70"/>
      <c r="K269" s="70"/>
      <c r="L269" s="51" t="s">
        <v>613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35">
        <f t="shared" si="12"/>
        <v>211</v>
      </c>
      <c r="B270" s="51" t="s">
        <v>675</v>
      </c>
      <c r="C270" s="51" t="s">
        <v>676</v>
      </c>
      <c r="D270" s="51"/>
      <c r="E270" s="51" t="s">
        <v>677</v>
      </c>
      <c r="F270" s="65" t="s">
        <v>172</v>
      </c>
      <c r="G270" s="65" t="s">
        <v>637</v>
      </c>
      <c r="H270" s="65" t="s">
        <v>172</v>
      </c>
      <c r="I270" s="65" t="s">
        <v>445</v>
      </c>
      <c r="J270" s="65" t="s">
        <v>445</v>
      </c>
      <c r="K270" s="65" t="s">
        <v>445</v>
      </c>
      <c r="L270" s="51" t="s">
        <v>613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35">
        <f t="shared" si="12"/>
        <v>210</v>
      </c>
      <c r="B271" s="51" t="s">
        <v>678</v>
      </c>
      <c r="C271" s="76" t="s">
        <v>679</v>
      </c>
      <c r="D271" s="76"/>
      <c r="E271" s="76" t="s">
        <v>646</v>
      </c>
      <c r="F271" s="77" t="s">
        <v>445</v>
      </c>
      <c r="G271" s="77" t="s">
        <v>570</v>
      </c>
      <c r="H271" s="66"/>
      <c r="I271" s="66"/>
      <c r="J271" s="66"/>
      <c r="K271" s="66"/>
      <c r="L271" s="51" t="s">
        <v>613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35">
        <f t="shared" si="12"/>
        <v>211</v>
      </c>
      <c r="B272" s="48" t="s">
        <v>678</v>
      </c>
      <c r="C272" s="76" t="s">
        <v>680</v>
      </c>
      <c r="D272" s="76"/>
      <c r="E272" s="75" t="s">
        <v>646</v>
      </c>
      <c r="F272" s="77" t="s">
        <v>445</v>
      </c>
      <c r="G272" s="77" t="s">
        <v>570</v>
      </c>
      <c r="H272" s="66"/>
      <c r="I272" s="66"/>
      <c r="J272" s="66"/>
      <c r="K272" s="66"/>
      <c r="L272" s="51" t="s">
        <v>613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35">
        <f t="shared" si="12"/>
        <v>212</v>
      </c>
      <c r="B273" s="51" t="s">
        <v>678</v>
      </c>
      <c r="C273" s="74" t="s">
        <v>681</v>
      </c>
      <c r="D273" s="74"/>
      <c r="E273" s="75" t="s">
        <v>646</v>
      </c>
      <c r="F273" s="77" t="s">
        <v>445</v>
      </c>
      <c r="G273" s="77" t="s">
        <v>570</v>
      </c>
      <c r="H273" s="70"/>
      <c r="I273" s="70"/>
      <c r="J273" s="70"/>
      <c r="K273" s="70"/>
      <c r="L273" s="51" t="s">
        <v>613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35">
        <f t="shared" si="12"/>
        <v>211</v>
      </c>
      <c r="B274" s="51" t="s">
        <v>678</v>
      </c>
      <c r="C274" s="76" t="s">
        <v>682</v>
      </c>
      <c r="D274" s="76"/>
      <c r="E274" s="75" t="s">
        <v>646</v>
      </c>
      <c r="F274" s="77" t="s">
        <v>445</v>
      </c>
      <c r="G274" s="77" t="s">
        <v>570</v>
      </c>
      <c r="H274" s="66"/>
      <c r="I274" s="66"/>
      <c r="J274" s="66"/>
      <c r="K274" s="66"/>
      <c r="L274" s="51" t="s">
        <v>613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35">
        <f t="shared" si="12"/>
        <v>212</v>
      </c>
      <c r="B275" s="51" t="s">
        <v>678</v>
      </c>
      <c r="C275" s="76" t="s">
        <v>683</v>
      </c>
      <c r="D275" s="76"/>
      <c r="E275" s="75" t="s">
        <v>646</v>
      </c>
      <c r="F275" s="77" t="s">
        <v>445</v>
      </c>
      <c r="G275" s="77" t="s">
        <v>570</v>
      </c>
      <c r="H275" s="66"/>
      <c r="I275" s="66"/>
      <c r="J275" s="66"/>
      <c r="K275" s="66"/>
      <c r="L275" s="51" t="s">
        <v>613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35">
        <f t="shared" si="12"/>
        <v>213</v>
      </c>
      <c r="B276" s="51" t="s">
        <v>678</v>
      </c>
      <c r="C276" s="76" t="s">
        <v>684</v>
      </c>
      <c r="D276" s="76"/>
      <c r="E276" s="75" t="s">
        <v>646</v>
      </c>
      <c r="F276" s="77" t="s">
        <v>445</v>
      </c>
      <c r="G276" s="77" t="s">
        <v>570</v>
      </c>
      <c r="H276" s="66"/>
      <c r="I276" s="66"/>
      <c r="J276" s="66"/>
      <c r="K276" s="66"/>
      <c r="L276" s="51" t="s">
        <v>613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35">
        <f t="shared" si="12"/>
        <v>212</v>
      </c>
      <c r="B277" s="51" t="s">
        <v>678</v>
      </c>
      <c r="C277" s="74" t="s">
        <v>685</v>
      </c>
      <c r="D277" s="74" t="s">
        <v>686</v>
      </c>
      <c r="E277" s="74"/>
      <c r="F277" s="77" t="s">
        <v>445</v>
      </c>
      <c r="G277" s="77" t="s">
        <v>570</v>
      </c>
      <c r="H277" s="70"/>
      <c r="I277" s="70"/>
      <c r="J277" s="70"/>
      <c r="K277" s="70"/>
      <c r="L277" s="51" t="s">
        <v>613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35">
        <f t="shared" si="12"/>
        <v>213</v>
      </c>
      <c r="B278" s="51" t="s">
        <v>678</v>
      </c>
      <c r="C278" s="76" t="s">
        <v>687</v>
      </c>
      <c r="D278" s="76"/>
      <c r="E278" s="76"/>
      <c r="F278" s="77" t="s">
        <v>445</v>
      </c>
      <c r="G278" s="77" t="s">
        <v>570</v>
      </c>
      <c r="H278" s="66"/>
      <c r="I278" s="66"/>
      <c r="J278" s="66"/>
      <c r="K278" s="66"/>
      <c r="L278" s="51" t="s">
        <v>613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35">
        <f t="shared" si="12"/>
        <v>214</v>
      </c>
      <c r="B279" s="48" t="s">
        <v>678</v>
      </c>
      <c r="C279" s="76" t="s">
        <v>688</v>
      </c>
      <c r="D279" s="76"/>
      <c r="E279" s="75" t="s">
        <v>646</v>
      </c>
      <c r="F279" s="77" t="s">
        <v>445</v>
      </c>
      <c r="G279" s="77" t="s">
        <v>570</v>
      </c>
      <c r="H279" s="66"/>
      <c r="I279" s="66"/>
      <c r="J279" s="66"/>
      <c r="K279" s="66"/>
      <c r="L279" s="51" t="s">
        <v>613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35">
        <f t="shared" si="12"/>
        <v>213</v>
      </c>
      <c r="B280" s="51" t="s">
        <v>678</v>
      </c>
      <c r="C280" s="76" t="s">
        <v>689</v>
      </c>
      <c r="D280" s="76"/>
      <c r="E280" s="75" t="s">
        <v>646</v>
      </c>
      <c r="F280" s="77" t="s">
        <v>445</v>
      </c>
      <c r="G280" s="77" t="s">
        <v>570</v>
      </c>
      <c r="H280" s="66"/>
      <c r="I280" s="66"/>
      <c r="J280" s="66"/>
      <c r="K280" s="66"/>
      <c r="L280" s="51" t="s">
        <v>613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32" t="s">
        <v>690</v>
      </c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78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 t="s">
        <v>3</v>
      </c>
      <c r="B282" s="7" t="s">
        <v>4</v>
      </c>
      <c r="C282" s="7" t="s">
        <v>5</v>
      </c>
      <c r="D282" s="7" t="s">
        <v>6</v>
      </c>
      <c r="E282" s="8" t="s">
        <v>7</v>
      </c>
      <c r="F282" s="8" t="s">
        <v>8</v>
      </c>
      <c r="G282" s="8" t="s">
        <v>9</v>
      </c>
      <c r="H282" s="8" t="s">
        <v>10</v>
      </c>
      <c r="I282" s="8" t="s">
        <v>11</v>
      </c>
      <c r="J282" s="8" t="s">
        <v>12</v>
      </c>
      <c r="K282" s="8" t="s">
        <v>13</v>
      </c>
      <c r="L282" s="8" t="s">
        <v>14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9">
        <f>+A280+1</f>
        <v>214</v>
      </c>
      <c r="B283" s="80" t="s">
        <v>691</v>
      </c>
      <c r="C283" s="80" t="s">
        <v>692</v>
      </c>
      <c r="D283" s="80" t="s">
        <v>693</v>
      </c>
      <c r="E283" s="81"/>
      <c r="F283" s="81"/>
      <c r="G283" s="10"/>
      <c r="H283" s="10"/>
      <c r="I283" s="10"/>
      <c r="J283" s="10"/>
      <c r="K283" s="10"/>
      <c r="L283" s="10" t="s">
        <v>694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9">
        <f t="shared" ref="A284:A318" si="13">+A283+1</f>
        <v>215</v>
      </c>
      <c r="B284" s="80" t="s">
        <v>695</v>
      </c>
      <c r="C284" s="80" t="s">
        <v>696</v>
      </c>
      <c r="D284" s="80" t="s">
        <v>697</v>
      </c>
      <c r="E284" s="10"/>
      <c r="F284" s="10"/>
      <c r="G284" s="10"/>
      <c r="H284" s="10"/>
      <c r="I284" s="10"/>
      <c r="J284" s="10"/>
      <c r="K284" s="10"/>
      <c r="L284" s="10" t="s">
        <v>694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9">
        <f t="shared" si="13"/>
        <v>216</v>
      </c>
      <c r="B285" s="80" t="s">
        <v>698</v>
      </c>
      <c r="C285" s="80" t="s">
        <v>699</v>
      </c>
      <c r="D285" s="80" t="s">
        <v>700</v>
      </c>
      <c r="E285" s="10"/>
      <c r="F285" s="10"/>
      <c r="G285" s="10"/>
      <c r="H285" s="10"/>
      <c r="I285" s="10"/>
      <c r="J285" s="10"/>
      <c r="K285" s="10"/>
      <c r="L285" s="10" t="s">
        <v>694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9">
        <f t="shared" si="13"/>
        <v>217</v>
      </c>
      <c r="B286" s="80" t="s">
        <v>701</v>
      </c>
      <c r="C286" s="80" t="s">
        <v>702</v>
      </c>
      <c r="D286" s="80" t="s">
        <v>703</v>
      </c>
      <c r="E286" s="10"/>
      <c r="F286" s="10"/>
      <c r="G286" s="10"/>
      <c r="H286" s="10"/>
      <c r="I286" s="10"/>
      <c r="J286" s="10"/>
      <c r="K286" s="10"/>
      <c r="L286" s="10" t="s">
        <v>694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9">
        <f t="shared" si="13"/>
        <v>218</v>
      </c>
      <c r="B287" s="80" t="s">
        <v>704</v>
      </c>
      <c r="C287" s="80" t="s">
        <v>705</v>
      </c>
      <c r="D287" s="80" t="s">
        <v>706</v>
      </c>
      <c r="E287" s="10"/>
      <c r="F287" s="10"/>
      <c r="G287" s="10"/>
      <c r="H287" s="10"/>
      <c r="I287" s="10"/>
      <c r="J287" s="10"/>
      <c r="K287" s="10"/>
      <c r="L287" s="10" t="s">
        <v>694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9">
        <f t="shared" si="13"/>
        <v>219</v>
      </c>
      <c r="B288" s="80" t="s">
        <v>707</v>
      </c>
      <c r="C288" s="80" t="s">
        <v>708</v>
      </c>
      <c r="D288" s="80" t="s">
        <v>709</v>
      </c>
      <c r="E288" s="10"/>
      <c r="F288" s="10"/>
      <c r="G288" s="10"/>
      <c r="H288" s="10"/>
      <c r="I288" s="10"/>
      <c r="J288" s="10"/>
      <c r="K288" s="10"/>
      <c r="L288" s="10" t="s">
        <v>694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9">
        <f t="shared" si="13"/>
        <v>220</v>
      </c>
      <c r="B289" s="80" t="s">
        <v>710</v>
      </c>
      <c r="C289" s="80" t="s">
        <v>711</v>
      </c>
      <c r="D289" s="80" t="s">
        <v>712</v>
      </c>
      <c r="E289" s="10"/>
      <c r="F289" s="81"/>
      <c r="G289" s="10"/>
      <c r="H289" s="10"/>
      <c r="I289" s="10"/>
      <c r="J289" s="10"/>
      <c r="K289" s="10"/>
      <c r="L289" s="10" t="s">
        <v>694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9">
        <f t="shared" si="13"/>
        <v>221</v>
      </c>
      <c r="B290" s="80" t="s">
        <v>713</v>
      </c>
      <c r="C290" s="80" t="s">
        <v>714</v>
      </c>
      <c r="D290" s="80" t="s">
        <v>715</v>
      </c>
      <c r="E290" s="10"/>
      <c r="F290" s="10"/>
      <c r="G290" s="10"/>
      <c r="H290" s="10"/>
      <c r="I290" s="10"/>
      <c r="J290" s="10"/>
      <c r="K290" s="10"/>
      <c r="L290" s="10" t="s">
        <v>694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9">
        <f t="shared" si="13"/>
        <v>222</v>
      </c>
      <c r="B291" s="80" t="s">
        <v>716</v>
      </c>
      <c r="C291" s="80" t="s">
        <v>717</v>
      </c>
      <c r="D291" s="80" t="s">
        <v>718</v>
      </c>
      <c r="E291" s="10"/>
      <c r="F291" s="10"/>
      <c r="G291" s="10"/>
      <c r="H291" s="10"/>
      <c r="I291" s="10"/>
      <c r="J291" s="10"/>
      <c r="K291" s="10"/>
      <c r="L291" s="10" t="s">
        <v>694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9">
        <f t="shared" si="13"/>
        <v>223</v>
      </c>
      <c r="B292" s="80" t="s">
        <v>719</v>
      </c>
      <c r="C292" s="80" t="s">
        <v>720</v>
      </c>
      <c r="D292" s="80" t="s">
        <v>721</v>
      </c>
      <c r="E292" s="10"/>
      <c r="F292" s="10"/>
      <c r="G292" s="10"/>
      <c r="H292" s="10"/>
      <c r="I292" s="10"/>
      <c r="J292" s="10"/>
      <c r="K292" s="10"/>
      <c r="L292" s="10" t="s">
        <v>694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9">
        <f t="shared" si="13"/>
        <v>224</v>
      </c>
      <c r="B293" s="80" t="s">
        <v>722</v>
      </c>
      <c r="C293" s="80" t="s">
        <v>723</v>
      </c>
      <c r="D293" s="80" t="s">
        <v>724</v>
      </c>
      <c r="E293" s="10"/>
      <c r="F293" s="10"/>
      <c r="G293" s="10"/>
      <c r="H293" s="10"/>
      <c r="I293" s="10"/>
      <c r="J293" s="10"/>
      <c r="K293" s="10"/>
      <c r="L293" s="10" t="s">
        <v>694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9">
        <f t="shared" si="13"/>
        <v>225</v>
      </c>
      <c r="B294" s="80" t="s">
        <v>725</v>
      </c>
      <c r="C294" s="80" t="s">
        <v>726</v>
      </c>
      <c r="D294" s="80" t="s">
        <v>727</v>
      </c>
      <c r="E294" s="10"/>
      <c r="F294" s="10"/>
      <c r="G294" s="10"/>
      <c r="H294" s="10"/>
      <c r="I294" s="10"/>
      <c r="J294" s="10"/>
      <c r="K294" s="10"/>
      <c r="L294" s="10" t="s">
        <v>694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9">
        <f t="shared" si="13"/>
        <v>226</v>
      </c>
      <c r="B295" s="80" t="s">
        <v>728</v>
      </c>
      <c r="C295" s="80" t="s">
        <v>729</v>
      </c>
      <c r="D295" s="80" t="s">
        <v>730</v>
      </c>
      <c r="E295" s="10"/>
      <c r="F295" s="81"/>
      <c r="G295" s="10"/>
      <c r="H295" s="10"/>
      <c r="I295" s="10"/>
      <c r="J295" s="10"/>
      <c r="K295" s="10"/>
      <c r="L295" s="10" t="s">
        <v>694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9">
        <f t="shared" si="13"/>
        <v>227</v>
      </c>
      <c r="B296" s="80" t="s">
        <v>731</v>
      </c>
      <c r="C296" s="80" t="s">
        <v>732</v>
      </c>
      <c r="D296" s="80" t="s">
        <v>733</v>
      </c>
      <c r="E296" s="10"/>
      <c r="F296" s="10"/>
      <c r="G296" s="10"/>
      <c r="H296" s="10"/>
      <c r="I296" s="10"/>
      <c r="J296" s="10"/>
      <c r="K296" s="10"/>
      <c r="L296" s="10" t="s">
        <v>694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9">
        <f t="shared" si="13"/>
        <v>228</v>
      </c>
      <c r="B297" s="80" t="s">
        <v>734</v>
      </c>
      <c r="C297" s="80" t="s">
        <v>735</v>
      </c>
      <c r="D297" s="80" t="s">
        <v>736</v>
      </c>
      <c r="E297" s="10"/>
      <c r="F297" s="10"/>
      <c r="G297" s="10"/>
      <c r="H297" s="10"/>
      <c r="I297" s="10"/>
      <c r="J297" s="10"/>
      <c r="K297" s="10"/>
      <c r="L297" s="10" t="s">
        <v>694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9">
        <f t="shared" si="13"/>
        <v>229</v>
      </c>
      <c r="B298" s="80" t="s">
        <v>737</v>
      </c>
      <c r="C298" s="80" t="s">
        <v>738</v>
      </c>
      <c r="D298" s="80" t="s">
        <v>739</v>
      </c>
      <c r="E298" s="10"/>
      <c r="F298" s="10"/>
      <c r="G298" s="10"/>
      <c r="H298" s="10"/>
      <c r="I298" s="10"/>
      <c r="J298" s="10"/>
      <c r="K298" s="10"/>
      <c r="L298" s="10" t="s">
        <v>694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9">
        <f t="shared" si="13"/>
        <v>230</v>
      </c>
      <c r="B299" s="80" t="s">
        <v>698</v>
      </c>
      <c r="C299" s="80" t="s">
        <v>740</v>
      </c>
      <c r="D299" s="80" t="s">
        <v>741</v>
      </c>
      <c r="E299" s="10"/>
      <c r="F299" s="10"/>
      <c r="G299" s="10"/>
      <c r="H299" s="10"/>
      <c r="I299" s="10"/>
      <c r="J299" s="10"/>
      <c r="K299" s="10"/>
      <c r="L299" s="10" t="s">
        <v>694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9">
        <f t="shared" si="13"/>
        <v>231</v>
      </c>
      <c r="B300" s="80" t="s">
        <v>742</v>
      </c>
      <c r="C300" s="80" t="s">
        <v>743</v>
      </c>
      <c r="D300" s="80" t="s">
        <v>744</v>
      </c>
      <c r="E300" s="10"/>
      <c r="F300" s="10"/>
      <c r="G300" s="10"/>
      <c r="H300" s="10"/>
      <c r="I300" s="10"/>
      <c r="J300" s="10"/>
      <c r="K300" s="10"/>
      <c r="L300" s="10" t="s">
        <v>694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9">
        <f t="shared" si="13"/>
        <v>232</v>
      </c>
      <c r="B301" s="80" t="s">
        <v>745</v>
      </c>
      <c r="C301" s="80" t="s">
        <v>746</v>
      </c>
      <c r="D301" s="80" t="s">
        <v>747</v>
      </c>
      <c r="E301" s="10"/>
      <c r="F301" s="81"/>
      <c r="G301" s="10"/>
      <c r="H301" s="10"/>
      <c r="I301" s="10"/>
      <c r="J301" s="10"/>
      <c r="K301" s="10"/>
      <c r="L301" s="10" t="s">
        <v>694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9">
        <f t="shared" si="13"/>
        <v>233</v>
      </c>
      <c r="B302" s="80" t="s">
        <v>748</v>
      </c>
      <c r="C302" s="80" t="s">
        <v>749</v>
      </c>
      <c r="D302" s="80" t="s">
        <v>750</v>
      </c>
      <c r="E302" s="10"/>
      <c r="F302" s="10"/>
      <c r="G302" s="10"/>
      <c r="H302" s="10"/>
      <c r="I302" s="10"/>
      <c r="J302" s="10"/>
      <c r="K302" s="10"/>
      <c r="L302" s="10" t="s">
        <v>694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9">
        <f t="shared" si="13"/>
        <v>234</v>
      </c>
      <c r="B303" s="80" t="s">
        <v>751</v>
      </c>
      <c r="C303" s="80" t="s">
        <v>752</v>
      </c>
      <c r="D303" s="80" t="s">
        <v>753</v>
      </c>
      <c r="E303" s="10"/>
      <c r="F303" s="10"/>
      <c r="G303" s="10"/>
      <c r="H303" s="10"/>
      <c r="I303" s="10"/>
      <c r="J303" s="10"/>
      <c r="K303" s="10"/>
      <c r="L303" s="10" t="s">
        <v>694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9">
        <f t="shared" si="13"/>
        <v>235</v>
      </c>
      <c r="B304" s="80" t="s">
        <v>754</v>
      </c>
      <c r="C304" s="80" t="s">
        <v>755</v>
      </c>
      <c r="D304" s="80" t="s">
        <v>756</v>
      </c>
      <c r="E304" s="10"/>
      <c r="F304" s="10"/>
      <c r="G304" s="10"/>
      <c r="H304" s="10"/>
      <c r="I304" s="10"/>
      <c r="J304" s="10"/>
      <c r="K304" s="10"/>
      <c r="L304" s="10" t="s">
        <v>694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9">
        <f t="shared" si="13"/>
        <v>236</v>
      </c>
      <c r="B305" s="80" t="s">
        <v>757</v>
      </c>
      <c r="C305" s="80" t="s">
        <v>758</v>
      </c>
      <c r="D305" s="80" t="s">
        <v>759</v>
      </c>
      <c r="E305" s="81"/>
      <c r="F305" s="10"/>
      <c r="G305" s="10"/>
      <c r="H305" s="10"/>
      <c r="I305" s="10"/>
      <c r="J305" s="10"/>
      <c r="K305" s="10"/>
      <c r="L305" s="10" t="s">
        <v>694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9">
        <f t="shared" si="13"/>
        <v>237</v>
      </c>
      <c r="B306" s="80" t="s">
        <v>760</v>
      </c>
      <c r="C306" s="80" t="s">
        <v>761</v>
      </c>
      <c r="D306" s="80" t="s">
        <v>762</v>
      </c>
      <c r="E306" s="10"/>
      <c r="F306" s="10"/>
      <c r="G306" s="10"/>
      <c r="H306" s="10"/>
      <c r="I306" s="10"/>
      <c r="J306" s="10"/>
      <c r="K306" s="10"/>
      <c r="L306" s="10" t="s">
        <v>694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9">
        <f t="shared" si="13"/>
        <v>238</v>
      </c>
      <c r="B307" s="80" t="s">
        <v>763</v>
      </c>
      <c r="C307" s="80" t="s">
        <v>764</v>
      </c>
      <c r="D307" s="80" t="s">
        <v>765</v>
      </c>
      <c r="E307" s="10"/>
      <c r="F307" s="81"/>
      <c r="G307" s="10"/>
      <c r="H307" s="10"/>
      <c r="I307" s="10"/>
      <c r="J307" s="10"/>
      <c r="K307" s="10"/>
      <c r="L307" s="10" t="s">
        <v>694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9">
        <f t="shared" si="13"/>
        <v>239</v>
      </c>
      <c r="B308" s="80" t="s">
        <v>766</v>
      </c>
      <c r="C308" s="80" t="s">
        <v>767</v>
      </c>
      <c r="D308" s="80" t="s">
        <v>768</v>
      </c>
      <c r="E308" s="10"/>
      <c r="F308" s="10"/>
      <c r="G308" s="10"/>
      <c r="H308" s="10"/>
      <c r="I308" s="10"/>
      <c r="J308" s="10"/>
      <c r="K308" s="10"/>
      <c r="L308" s="10" t="s">
        <v>694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9">
        <f t="shared" si="13"/>
        <v>240</v>
      </c>
      <c r="B309" s="80" t="s">
        <v>769</v>
      </c>
      <c r="C309" s="80" t="s">
        <v>770</v>
      </c>
      <c r="D309" s="80" t="s">
        <v>771</v>
      </c>
      <c r="E309" s="10"/>
      <c r="F309" s="10"/>
      <c r="G309" s="10"/>
      <c r="H309" s="10"/>
      <c r="I309" s="10"/>
      <c r="J309" s="10"/>
      <c r="K309" s="10"/>
      <c r="L309" s="10" t="s">
        <v>694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9">
        <f t="shared" si="13"/>
        <v>241</v>
      </c>
      <c r="B310" s="80" t="s">
        <v>772</v>
      </c>
      <c r="C310" s="80" t="s">
        <v>773</v>
      </c>
      <c r="D310" s="80" t="s">
        <v>774</v>
      </c>
      <c r="E310" s="10"/>
      <c r="F310" s="10"/>
      <c r="G310" s="10"/>
      <c r="H310" s="10"/>
      <c r="I310" s="10"/>
      <c r="J310" s="10"/>
      <c r="K310" s="10"/>
      <c r="L310" s="10" t="s">
        <v>694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9">
        <f t="shared" si="13"/>
        <v>242</v>
      </c>
      <c r="B311" s="80" t="s">
        <v>775</v>
      </c>
      <c r="C311" s="80" t="s">
        <v>776</v>
      </c>
      <c r="D311" s="80" t="s">
        <v>777</v>
      </c>
      <c r="E311" s="10"/>
      <c r="F311" s="10"/>
      <c r="G311" s="10"/>
      <c r="H311" s="10"/>
      <c r="I311" s="10"/>
      <c r="J311" s="10"/>
      <c r="K311" s="10"/>
      <c r="L311" s="10" t="s">
        <v>694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9">
        <f t="shared" si="13"/>
        <v>243</v>
      </c>
      <c r="B312" s="80" t="s">
        <v>778</v>
      </c>
      <c r="C312" s="80" t="s">
        <v>779</v>
      </c>
      <c r="D312" s="80" t="s">
        <v>780</v>
      </c>
      <c r="E312" s="10"/>
      <c r="F312" s="10"/>
      <c r="G312" s="10"/>
      <c r="H312" s="10"/>
      <c r="I312" s="10"/>
      <c r="J312" s="10"/>
      <c r="K312" s="10"/>
      <c r="L312" s="10" t="s">
        <v>694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9">
        <f t="shared" si="13"/>
        <v>244</v>
      </c>
      <c r="B313" s="80" t="s">
        <v>781</v>
      </c>
      <c r="C313" s="80" t="s">
        <v>782</v>
      </c>
      <c r="D313" s="80" t="s">
        <v>783</v>
      </c>
      <c r="E313" s="10"/>
      <c r="F313" s="81"/>
      <c r="G313" s="10"/>
      <c r="H313" s="10"/>
      <c r="I313" s="10"/>
      <c r="J313" s="10"/>
      <c r="K313" s="10"/>
      <c r="L313" s="10" t="s">
        <v>694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9">
        <f t="shared" si="13"/>
        <v>245</v>
      </c>
      <c r="B314" s="80" t="s">
        <v>784</v>
      </c>
      <c r="C314" s="80" t="s">
        <v>785</v>
      </c>
      <c r="D314" s="80" t="s">
        <v>786</v>
      </c>
      <c r="E314" s="10"/>
      <c r="F314" s="10"/>
      <c r="G314" s="10"/>
      <c r="H314" s="10"/>
      <c r="I314" s="10"/>
      <c r="J314" s="10"/>
      <c r="K314" s="10"/>
      <c r="L314" s="10" t="s">
        <v>694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9">
        <f t="shared" si="13"/>
        <v>246</v>
      </c>
      <c r="B315" s="80" t="s">
        <v>787</v>
      </c>
      <c r="C315" s="80" t="s">
        <v>788</v>
      </c>
      <c r="D315" s="80" t="s">
        <v>789</v>
      </c>
      <c r="E315" s="10"/>
      <c r="F315" s="10"/>
      <c r="G315" s="10"/>
      <c r="H315" s="10"/>
      <c r="I315" s="10"/>
      <c r="J315" s="10"/>
      <c r="K315" s="10"/>
      <c r="L315" s="10" t="s">
        <v>694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9">
        <f t="shared" si="13"/>
        <v>247</v>
      </c>
      <c r="B316" s="80" t="s">
        <v>790</v>
      </c>
      <c r="C316" s="80" t="s">
        <v>791</v>
      </c>
      <c r="D316" s="80" t="s">
        <v>792</v>
      </c>
      <c r="E316" s="10"/>
      <c r="F316" s="10"/>
      <c r="G316" s="10"/>
      <c r="H316" s="10"/>
      <c r="I316" s="10"/>
      <c r="J316" s="10"/>
      <c r="K316" s="10"/>
      <c r="L316" s="10" t="s">
        <v>694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9">
        <f t="shared" si="13"/>
        <v>248</v>
      </c>
      <c r="B317" s="80" t="s">
        <v>793</v>
      </c>
      <c r="C317" s="80" t="s">
        <v>794</v>
      </c>
      <c r="D317" s="80" t="s">
        <v>795</v>
      </c>
      <c r="E317" s="10"/>
      <c r="F317" s="10"/>
      <c r="G317" s="10"/>
      <c r="H317" s="10"/>
      <c r="I317" s="10"/>
      <c r="J317" s="10"/>
      <c r="K317" s="10"/>
      <c r="L317" s="10" t="s">
        <v>694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9">
        <f t="shared" si="13"/>
        <v>249</v>
      </c>
      <c r="B318" s="80" t="s">
        <v>796</v>
      </c>
      <c r="C318" s="80" t="s">
        <v>797</v>
      </c>
      <c r="D318" s="80" t="s">
        <v>798</v>
      </c>
      <c r="E318" s="10"/>
      <c r="F318" s="10"/>
      <c r="G318" s="10"/>
      <c r="H318" s="10"/>
      <c r="I318" s="10"/>
      <c r="J318" s="10"/>
      <c r="K318" s="10"/>
      <c r="L318" s="10" t="s">
        <v>694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61" t="s">
        <v>799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6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 t="s">
        <v>3</v>
      </c>
      <c r="B320" s="7" t="s">
        <v>4</v>
      </c>
      <c r="C320" s="7" t="s">
        <v>5</v>
      </c>
      <c r="D320" s="7" t="s">
        <v>6</v>
      </c>
      <c r="E320" s="8" t="s">
        <v>7</v>
      </c>
      <c r="F320" s="8" t="s">
        <v>8</v>
      </c>
      <c r="G320" s="8" t="s">
        <v>9</v>
      </c>
      <c r="H320" s="8" t="s">
        <v>10</v>
      </c>
      <c r="I320" s="8" t="s">
        <v>11</v>
      </c>
      <c r="J320" s="8" t="s">
        <v>12</v>
      </c>
      <c r="K320" s="8" t="s">
        <v>13</v>
      </c>
      <c r="L320" s="8" t="s">
        <v>14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9">
        <f>+A318+1</f>
        <v>250</v>
      </c>
      <c r="B321" s="80" t="s">
        <v>722</v>
      </c>
      <c r="C321" s="80" t="s">
        <v>800</v>
      </c>
      <c r="D321" s="80" t="s">
        <v>801</v>
      </c>
      <c r="E321" s="10"/>
      <c r="F321" s="81"/>
      <c r="G321" s="10"/>
      <c r="H321" s="10"/>
      <c r="I321" s="10"/>
      <c r="J321" s="10"/>
      <c r="K321" s="10"/>
      <c r="L321" s="10" t="s">
        <v>802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9">
        <f t="shared" ref="A322:A335" si="14">+A321+1</f>
        <v>251</v>
      </c>
      <c r="B322" s="80" t="s">
        <v>754</v>
      </c>
      <c r="C322" s="80" t="s">
        <v>803</v>
      </c>
      <c r="D322" s="80" t="s">
        <v>804</v>
      </c>
      <c r="E322" s="10"/>
      <c r="F322" s="10"/>
      <c r="G322" s="10"/>
      <c r="H322" s="10"/>
      <c r="I322" s="10"/>
      <c r="J322" s="10"/>
      <c r="K322" s="10"/>
      <c r="L322" s="10" t="s">
        <v>802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9">
        <f t="shared" si="14"/>
        <v>252</v>
      </c>
      <c r="B323" s="80" t="s">
        <v>805</v>
      </c>
      <c r="C323" s="80" t="s">
        <v>806</v>
      </c>
      <c r="D323" s="80" t="s">
        <v>807</v>
      </c>
      <c r="E323" s="10"/>
      <c r="F323" s="10"/>
      <c r="G323" s="10"/>
      <c r="H323" s="10"/>
      <c r="I323" s="10"/>
      <c r="J323" s="10"/>
      <c r="K323" s="10"/>
      <c r="L323" s="10" t="s">
        <v>802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9">
        <f t="shared" si="14"/>
        <v>253</v>
      </c>
      <c r="B324" s="80" t="s">
        <v>808</v>
      </c>
      <c r="C324" s="80" t="s">
        <v>809</v>
      </c>
      <c r="D324" s="80" t="s">
        <v>810</v>
      </c>
      <c r="E324" s="10"/>
      <c r="F324" s="10"/>
      <c r="G324" s="10"/>
      <c r="H324" s="10"/>
      <c r="I324" s="10"/>
      <c r="J324" s="10"/>
      <c r="K324" s="10"/>
      <c r="L324" s="10" t="s">
        <v>802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9">
        <f t="shared" si="14"/>
        <v>254</v>
      </c>
      <c r="B325" s="80" t="s">
        <v>742</v>
      </c>
      <c r="C325" s="80" t="s">
        <v>811</v>
      </c>
      <c r="D325" s="80" t="s">
        <v>812</v>
      </c>
      <c r="E325" s="10"/>
      <c r="F325" s="10"/>
      <c r="G325" s="10"/>
      <c r="H325" s="10"/>
      <c r="I325" s="10"/>
      <c r="J325" s="10"/>
      <c r="K325" s="10"/>
      <c r="L325" s="10" t="s">
        <v>802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9">
        <f t="shared" si="14"/>
        <v>255</v>
      </c>
      <c r="B326" s="80" t="s">
        <v>813</v>
      </c>
      <c r="C326" s="80" t="s">
        <v>814</v>
      </c>
      <c r="D326" s="80" t="s">
        <v>815</v>
      </c>
      <c r="E326" s="10"/>
      <c r="F326" s="10"/>
      <c r="G326" s="10"/>
      <c r="H326" s="10"/>
      <c r="I326" s="10"/>
      <c r="J326" s="10"/>
      <c r="K326" s="10"/>
      <c r="L326" s="10" t="s">
        <v>802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9">
        <f t="shared" si="14"/>
        <v>256</v>
      </c>
      <c r="B327" s="80" t="s">
        <v>695</v>
      </c>
      <c r="C327" s="80" t="s">
        <v>816</v>
      </c>
      <c r="D327" s="80" t="s">
        <v>817</v>
      </c>
      <c r="E327" s="10"/>
      <c r="F327" s="81"/>
      <c r="G327" s="10"/>
      <c r="H327" s="10"/>
      <c r="I327" s="10"/>
      <c r="J327" s="10"/>
      <c r="K327" s="10"/>
      <c r="L327" s="10" t="s">
        <v>802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9">
        <f t="shared" si="14"/>
        <v>257</v>
      </c>
      <c r="B328" s="80" t="s">
        <v>818</v>
      </c>
      <c r="C328" s="80" t="s">
        <v>819</v>
      </c>
      <c r="D328" s="80" t="s">
        <v>820</v>
      </c>
      <c r="E328" s="10"/>
      <c r="F328" s="10"/>
      <c r="G328" s="10"/>
      <c r="H328" s="10"/>
      <c r="I328" s="10"/>
      <c r="J328" s="10"/>
      <c r="K328" s="10"/>
      <c r="L328" s="10" t="s">
        <v>802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9">
        <f t="shared" si="14"/>
        <v>258</v>
      </c>
      <c r="B329" s="80" t="s">
        <v>808</v>
      </c>
      <c r="C329" s="80" t="s">
        <v>821</v>
      </c>
      <c r="D329" s="80" t="s">
        <v>822</v>
      </c>
      <c r="E329" s="10"/>
      <c r="F329" s="10"/>
      <c r="G329" s="10"/>
      <c r="H329" s="10"/>
      <c r="I329" s="10"/>
      <c r="J329" s="10"/>
      <c r="K329" s="10"/>
      <c r="L329" s="10" t="s">
        <v>802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9">
        <f t="shared" si="14"/>
        <v>259</v>
      </c>
      <c r="B330" s="80" t="s">
        <v>823</v>
      </c>
      <c r="C330" s="80" t="s">
        <v>824</v>
      </c>
      <c r="D330" s="80" t="s">
        <v>825</v>
      </c>
      <c r="E330" s="10"/>
      <c r="F330" s="10"/>
      <c r="G330" s="10"/>
      <c r="H330" s="10"/>
      <c r="I330" s="10"/>
      <c r="J330" s="10"/>
      <c r="K330" s="10"/>
      <c r="L330" s="10" t="s">
        <v>802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9">
        <f t="shared" si="14"/>
        <v>260</v>
      </c>
      <c r="B331" s="80" t="s">
        <v>691</v>
      </c>
      <c r="C331" s="80" t="s">
        <v>826</v>
      </c>
      <c r="D331" s="80" t="s">
        <v>827</v>
      </c>
      <c r="E331" s="10"/>
      <c r="F331" s="10"/>
      <c r="G331" s="10"/>
      <c r="H331" s="10"/>
      <c r="I331" s="10"/>
      <c r="J331" s="10"/>
      <c r="K331" s="10"/>
      <c r="L331" s="10" t="s">
        <v>802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9">
        <f t="shared" si="14"/>
        <v>261</v>
      </c>
      <c r="B332" s="80" t="s">
        <v>828</v>
      </c>
      <c r="C332" s="80" t="s">
        <v>829</v>
      </c>
      <c r="D332" s="80" t="s">
        <v>830</v>
      </c>
      <c r="E332" s="10"/>
      <c r="F332" s="10"/>
      <c r="G332" s="10"/>
      <c r="H332" s="10"/>
      <c r="I332" s="10"/>
      <c r="J332" s="10"/>
      <c r="K332" s="10"/>
      <c r="L332" s="10" t="s">
        <v>802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9">
        <f t="shared" si="14"/>
        <v>262</v>
      </c>
      <c r="B333" s="80" t="s">
        <v>808</v>
      </c>
      <c r="C333" s="80" t="s">
        <v>831</v>
      </c>
      <c r="D333" s="80" t="s">
        <v>832</v>
      </c>
      <c r="E333" s="10"/>
      <c r="F333" s="81"/>
      <c r="G333" s="10"/>
      <c r="H333" s="10"/>
      <c r="I333" s="10"/>
      <c r="J333" s="10"/>
      <c r="K333" s="10"/>
      <c r="L333" s="10" t="s">
        <v>802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9">
        <f t="shared" si="14"/>
        <v>263</v>
      </c>
      <c r="B334" s="80" t="s">
        <v>833</v>
      </c>
      <c r="C334" s="80" t="s">
        <v>834</v>
      </c>
      <c r="D334" s="80" t="s">
        <v>835</v>
      </c>
      <c r="E334" s="10"/>
      <c r="F334" s="10"/>
      <c r="G334" s="10"/>
      <c r="H334" s="10"/>
      <c r="I334" s="10"/>
      <c r="J334" s="10"/>
      <c r="K334" s="10"/>
      <c r="L334" s="10" t="s">
        <v>802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9">
        <f t="shared" si="14"/>
        <v>264</v>
      </c>
      <c r="B335" s="80" t="s">
        <v>793</v>
      </c>
      <c r="C335" s="80" t="s">
        <v>836</v>
      </c>
      <c r="D335" s="80" t="s">
        <v>837</v>
      </c>
      <c r="E335" s="10"/>
      <c r="F335" s="10"/>
      <c r="G335" s="10"/>
      <c r="H335" s="10"/>
      <c r="I335" s="10"/>
      <c r="J335" s="10"/>
      <c r="K335" s="10"/>
      <c r="L335" s="10" t="s">
        <v>802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61" t="s">
        <v>838</v>
      </c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6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 t="s">
        <v>3</v>
      </c>
      <c r="B337" s="7" t="s">
        <v>4</v>
      </c>
      <c r="C337" s="7" t="s">
        <v>5</v>
      </c>
      <c r="D337" s="7" t="s">
        <v>6</v>
      </c>
      <c r="E337" s="8" t="s">
        <v>7</v>
      </c>
      <c r="F337" s="8" t="s">
        <v>8</v>
      </c>
      <c r="G337" s="8" t="s">
        <v>9</v>
      </c>
      <c r="H337" s="8" t="s">
        <v>10</v>
      </c>
      <c r="I337" s="8" t="s">
        <v>11</v>
      </c>
      <c r="J337" s="8" t="s">
        <v>12</v>
      </c>
      <c r="K337" s="8" t="s">
        <v>13</v>
      </c>
      <c r="L337" s="8" t="s">
        <v>14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9">
        <f>+A335+1</f>
        <v>265</v>
      </c>
      <c r="B338" s="80" t="s">
        <v>839</v>
      </c>
      <c r="C338" s="80" t="s">
        <v>840</v>
      </c>
      <c r="D338" s="80" t="s">
        <v>841</v>
      </c>
      <c r="E338" s="80"/>
      <c r="F338" s="80"/>
      <c r="G338" s="80"/>
      <c r="H338" s="80"/>
      <c r="I338" s="80"/>
      <c r="J338" s="80"/>
      <c r="K338" s="80"/>
      <c r="L338" s="10" t="s">
        <v>802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9">
        <f t="shared" ref="A339:A340" si="15">+A338+1</f>
        <v>266</v>
      </c>
      <c r="B339" s="80" t="s">
        <v>842</v>
      </c>
      <c r="C339" s="80" t="s">
        <v>843</v>
      </c>
      <c r="D339" s="80" t="s">
        <v>844</v>
      </c>
      <c r="E339" s="80"/>
      <c r="F339" s="80"/>
      <c r="G339" s="80"/>
      <c r="H339" s="80"/>
      <c r="I339" s="80"/>
      <c r="J339" s="80"/>
      <c r="K339" s="80"/>
      <c r="L339" s="10" t="s">
        <v>802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9">
        <f t="shared" si="15"/>
        <v>267</v>
      </c>
      <c r="B340" s="80" t="s">
        <v>845</v>
      </c>
      <c r="C340" s="80" t="s">
        <v>846</v>
      </c>
      <c r="D340" s="80" t="s">
        <v>847</v>
      </c>
      <c r="E340" s="80"/>
      <c r="F340" s="80"/>
      <c r="G340" s="80"/>
      <c r="H340" s="80"/>
      <c r="I340" s="80"/>
      <c r="J340" s="80"/>
      <c r="K340" s="80"/>
      <c r="L340" s="10" t="s">
        <v>802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61" t="s">
        <v>848</v>
      </c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6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 t="s">
        <v>3</v>
      </c>
      <c r="B342" s="7" t="s">
        <v>4</v>
      </c>
      <c r="C342" s="7" t="s">
        <v>5</v>
      </c>
      <c r="D342" s="7" t="s">
        <v>6</v>
      </c>
      <c r="E342" s="8" t="s">
        <v>7</v>
      </c>
      <c r="F342" s="8" t="s">
        <v>8</v>
      </c>
      <c r="G342" s="8" t="s">
        <v>9</v>
      </c>
      <c r="H342" s="8" t="s">
        <v>10</v>
      </c>
      <c r="I342" s="8" t="s">
        <v>11</v>
      </c>
      <c r="J342" s="8" t="s">
        <v>12</v>
      </c>
      <c r="K342" s="8" t="s">
        <v>13</v>
      </c>
      <c r="L342" s="8" t="s">
        <v>14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35">
        <f>A340+1</f>
        <v>268</v>
      </c>
      <c r="B343" s="82" t="s">
        <v>849</v>
      </c>
      <c r="C343" s="83" t="s">
        <v>850</v>
      </c>
      <c r="D343" s="84"/>
      <c r="E343" s="85" t="s">
        <v>851</v>
      </c>
      <c r="F343" s="51"/>
      <c r="G343" s="51"/>
      <c r="H343" s="51"/>
      <c r="I343" s="51"/>
      <c r="J343" s="51"/>
      <c r="K343" s="51"/>
      <c r="L343" s="10" t="s">
        <v>802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35">
        <f t="shared" ref="A344:A351" si="16">A343+1</f>
        <v>269</v>
      </c>
      <c r="B344" s="86" t="s">
        <v>852</v>
      </c>
      <c r="C344" s="87" t="s">
        <v>853</v>
      </c>
      <c r="D344" s="51"/>
      <c r="E344" s="51" t="s">
        <v>854</v>
      </c>
      <c r="F344" s="51"/>
      <c r="G344" s="51"/>
      <c r="H344" s="51"/>
      <c r="I344" s="51"/>
      <c r="J344" s="51"/>
      <c r="K344" s="51"/>
      <c r="L344" s="10" t="s">
        <v>802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35">
        <f t="shared" si="16"/>
        <v>270</v>
      </c>
      <c r="B345" s="86" t="s">
        <v>855</v>
      </c>
      <c r="C345" s="87" t="s">
        <v>856</v>
      </c>
      <c r="D345" s="51"/>
      <c r="E345" s="51" t="s">
        <v>857</v>
      </c>
      <c r="F345" s="51"/>
      <c r="G345" s="51"/>
      <c r="H345" s="51"/>
      <c r="I345" s="51"/>
      <c r="J345" s="51"/>
      <c r="K345" s="51"/>
      <c r="L345" s="10" t="s">
        <v>802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35">
        <f t="shared" si="16"/>
        <v>271</v>
      </c>
      <c r="B346" s="86" t="s">
        <v>858</v>
      </c>
      <c r="C346" s="87" t="s">
        <v>859</v>
      </c>
      <c r="D346" s="51"/>
      <c r="E346" s="51" t="s">
        <v>860</v>
      </c>
      <c r="F346" s="51"/>
      <c r="G346" s="51"/>
      <c r="H346" s="51"/>
      <c r="I346" s="51"/>
      <c r="J346" s="51"/>
      <c r="K346" s="51"/>
      <c r="L346" s="10" t="s">
        <v>802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35">
        <f t="shared" si="16"/>
        <v>272</v>
      </c>
      <c r="B347" s="86" t="s">
        <v>861</v>
      </c>
      <c r="C347" s="87" t="s">
        <v>862</v>
      </c>
      <c r="D347" s="51"/>
      <c r="E347" s="51" t="s">
        <v>863</v>
      </c>
      <c r="F347" s="51"/>
      <c r="G347" s="51"/>
      <c r="H347" s="51"/>
      <c r="I347" s="51"/>
      <c r="J347" s="51"/>
      <c r="K347" s="51"/>
      <c r="L347" s="10" t="s">
        <v>802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35">
        <f t="shared" si="16"/>
        <v>273</v>
      </c>
      <c r="B348" s="86" t="s">
        <v>864</v>
      </c>
      <c r="C348" s="87" t="s">
        <v>865</v>
      </c>
      <c r="D348" s="51"/>
      <c r="E348" s="51" t="s">
        <v>866</v>
      </c>
      <c r="F348" s="51"/>
      <c r="G348" s="51"/>
      <c r="H348" s="51"/>
      <c r="I348" s="51"/>
      <c r="J348" s="51"/>
      <c r="K348" s="51"/>
      <c r="L348" s="10" t="s">
        <v>802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35">
        <f t="shared" si="16"/>
        <v>274</v>
      </c>
      <c r="B349" s="86" t="s">
        <v>867</v>
      </c>
      <c r="C349" s="87" t="s">
        <v>868</v>
      </c>
      <c r="D349" s="51"/>
      <c r="E349" s="51" t="s">
        <v>869</v>
      </c>
      <c r="F349" s="51"/>
      <c r="G349" s="51"/>
      <c r="H349" s="51"/>
      <c r="I349" s="51"/>
      <c r="J349" s="51"/>
      <c r="K349" s="51"/>
      <c r="L349" s="10" t="s">
        <v>802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35">
        <f t="shared" si="16"/>
        <v>275</v>
      </c>
      <c r="B350" s="86" t="s">
        <v>870</v>
      </c>
      <c r="C350" s="87" t="s">
        <v>871</v>
      </c>
      <c r="D350" s="51"/>
      <c r="E350" s="51" t="s">
        <v>872</v>
      </c>
      <c r="F350" s="51"/>
      <c r="G350" s="51"/>
      <c r="H350" s="51"/>
      <c r="I350" s="51"/>
      <c r="J350" s="51"/>
      <c r="K350" s="51"/>
      <c r="L350" s="10" t="s">
        <v>802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35">
        <f t="shared" si="16"/>
        <v>276</v>
      </c>
      <c r="B351" s="10" t="s">
        <v>873</v>
      </c>
      <c r="C351" s="10" t="s">
        <v>874</v>
      </c>
      <c r="D351" s="10"/>
      <c r="E351" s="10" t="s">
        <v>875</v>
      </c>
      <c r="F351" s="10"/>
      <c r="G351" s="10"/>
      <c r="H351" s="10"/>
      <c r="I351" s="10"/>
      <c r="J351" s="10"/>
      <c r="K351" s="10"/>
      <c r="L351" s="10" t="s">
        <v>802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35">
        <f t="shared" ref="A352:A383" si="17">+A351+1</f>
        <v>277</v>
      </c>
      <c r="B352" s="10" t="s">
        <v>876</v>
      </c>
      <c r="C352" s="10" t="s">
        <v>877</v>
      </c>
      <c r="D352" s="10" t="s">
        <v>878</v>
      </c>
      <c r="E352" s="10" t="s">
        <v>860</v>
      </c>
      <c r="F352" s="10"/>
      <c r="G352" s="10"/>
      <c r="H352" s="10"/>
      <c r="I352" s="10"/>
      <c r="J352" s="10"/>
      <c r="K352" s="10"/>
      <c r="L352" s="10" t="s">
        <v>802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35">
        <f t="shared" si="17"/>
        <v>278</v>
      </c>
      <c r="B353" s="10" t="s">
        <v>879</v>
      </c>
      <c r="C353" s="10" t="s">
        <v>880</v>
      </c>
      <c r="D353" s="10" t="s">
        <v>247</v>
      </c>
      <c r="E353" s="10" t="s">
        <v>881</v>
      </c>
      <c r="F353" s="10"/>
      <c r="G353" s="10"/>
      <c r="H353" s="10"/>
      <c r="I353" s="10"/>
      <c r="J353" s="10"/>
      <c r="K353" s="10"/>
      <c r="L353" s="10" t="s">
        <v>802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35">
        <f t="shared" si="17"/>
        <v>279</v>
      </c>
      <c r="B354" s="48" t="s">
        <v>882</v>
      </c>
      <c r="C354" s="48" t="s">
        <v>883</v>
      </c>
      <c r="D354" s="48"/>
      <c r="E354" s="49"/>
      <c r="F354" s="10"/>
      <c r="G354" s="10"/>
      <c r="H354" s="10"/>
      <c r="I354" s="10"/>
      <c r="J354" s="10"/>
      <c r="K354" s="10"/>
      <c r="L354" s="10" t="s">
        <v>802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35">
        <f t="shared" si="17"/>
        <v>280</v>
      </c>
      <c r="B355" s="48" t="s">
        <v>884</v>
      </c>
      <c r="C355" s="48" t="s">
        <v>885</v>
      </c>
      <c r="D355" s="48"/>
      <c r="E355" s="49"/>
      <c r="F355" s="10"/>
      <c r="G355" s="10"/>
      <c r="H355" s="10"/>
      <c r="I355" s="10"/>
      <c r="J355" s="10"/>
      <c r="K355" s="10"/>
      <c r="L355" s="10" t="s">
        <v>802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35">
        <f t="shared" si="17"/>
        <v>281</v>
      </c>
      <c r="B356" s="48" t="s">
        <v>886</v>
      </c>
      <c r="C356" s="48" t="s">
        <v>887</v>
      </c>
      <c r="D356" s="48"/>
      <c r="E356" s="49"/>
      <c r="F356" s="10"/>
      <c r="G356" s="10"/>
      <c r="H356" s="10"/>
      <c r="I356" s="10"/>
      <c r="J356" s="10"/>
      <c r="K356" s="10"/>
      <c r="L356" s="10" t="s">
        <v>802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35">
        <f t="shared" si="17"/>
        <v>282</v>
      </c>
      <c r="B357" s="48" t="s">
        <v>888</v>
      </c>
      <c r="C357" s="48" t="s">
        <v>889</v>
      </c>
      <c r="D357" s="48"/>
      <c r="E357" s="49"/>
      <c r="F357" s="10"/>
      <c r="G357" s="10"/>
      <c r="H357" s="10"/>
      <c r="I357" s="10"/>
      <c r="J357" s="10"/>
      <c r="K357" s="10"/>
      <c r="L357" s="10" t="s">
        <v>802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35">
        <f t="shared" si="17"/>
        <v>283</v>
      </c>
      <c r="B358" s="48" t="s">
        <v>890</v>
      </c>
      <c r="C358" s="48" t="s">
        <v>891</v>
      </c>
      <c r="D358" s="48"/>
      <c r="E358" s="49"/>
      <c r="F358" s="10"/>
      <c r="G358" s="10"/>
      <c r="H358" s="10"/>
      <c r="I358" s="10"/>
      <c r="J358" s="10"/>
      <c r="K358" s="10"/>
      <c r="L358" s="10" t="s">
        <v>802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35">
        <f t="shared" si="17"/>
        <v>284</v>
      </c>
      <c r="B359" s="48" t="s">
        <v>892</v>
      </c>
      <c r="C359" s="48" t="s">
        <v>893</v>
      </c>
      <c r="D359" s="48"/>
      <c r="E359" s="49"/>
      <c r="F359" s="10"/>
      <c r="G359" s="10"/>
      <c r="H359" s="10"/>
      <c r="I359" s="10"/>
      <c r="J359" s="10"/>
      <c r="K359" s="10"/>
      <c r="L359" s="10" t="s">
        <v>802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35">
        <f t="shared" si="17"/>
        <v>285</v>
      </c>
      <c r="B360" s="48" t="s">
        <v>894</v>
      </c>
      <c r="C360" s="48" t="s">
        <v>895</v>
      </c>
      <c r="D360" s="48"/>
      <c r="E360" s="88" t="s">
        <v>896</v>
      </c>
      <c r="F360" s="10"/>
      <c r="G360" s="10"/>
      <c r="H360" s="10"/>
      <c r="I360" s="10"/>
      <c r="J360" s="10"/>
      <c r="K360" s="10"/>
      <c r="L360" s="10" t="s">
        <v>802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35">
        <f t="shared" si="17"/>
        <v>286</v>
      </c>
      <c r="B361" s="48" t="s">
        <v>897</v>
      </c>
      <c r="C361" s="48" t="s">
        <v>898</v>
      </c>
      <c r="D361" s="48"/>
      <c r="E361" s="49"/>
      <c r="F361" s="10"/>
      <c r="G361" s="10"/>
      <c r="H361" s="10"/>
      <c r="I361" s="10"/>
      <c r="J361" s="10"/>
      <c r="K361" s="10"/>
      <c r="L361" s="10" t="s">
        <v>802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35">
        <f t="shared" si="17"/>
        <v>287</v>
      </c>
      <c r="B362" s="48" t="s">
        <v>899</v>
      </c>
      <c r="C362" s="48" t="s">
        <v>900</v>
      </c>
      <c r="D362" s="48"/>
      <c r="E362" s="89"/>
      <c r="F362" s="10"/>
      <c r="G362" s="10"/>
      <c r="H362" s="10"/>
      <c r="I362" s="10"/>
      <c r="J362" s="10"/>
      <c r="K362" s="10"/>
      <c r="L362" s="10" t="s">
        <v>802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35">
        <f t="shared" si="17"/>
        <v>288</v>
      </c>
      <c r="B363" s="48" t="s">
        <v>901</v>
      </c>
      <c r="C363" s="48" t="s">
        <v>902</v>
      </c>
      <c r="D363" s="48"/>
      <c r="E363" s="89"/>
      <c r="F363" s="10"/>
      <c r="G363" s="10"/>
      <c r="H363" s="10"/>
      <c r="I363" s="10"/>
      <c r="J363" s="10"/>
      <c r="K363" s="10"/>
      <c r="L363" s="10" t="s">
        <v>802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35">
        <f t="shared" si="17"/>
        <v>289</v>
      </c>
      <c r="B364" s="51" t="s">
        <v>903</v>
      </c>
      <c r="C364" s="90" t="s">
        <v>904</v>
      </c>
      <c r="D364" s="48"/>
      <c r="E364" s="91" t="s">
        <v>905</v>
      </c>
      <c r="F364" s="10"/>
      <c r="G364" s="10"/>
      <c r="H364" s="10"/>
      <c r="I364" s="10"/>
      <c r="J364" s="10"/>
      <c r="K364" s="10"/>
      <c r="L364" s="10" t="s">
        <v>802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35">
        <f t="shared" si="17"/>
        <v>290</v>
      </c>
      <c r="B365" s="51" t="s">
        <v>906</v>
      </c>
      <c r="C365" s="90" t="s">
        <v>907</v>
      </c>
      <c r="D365" s="48"/>
      <c r="E365" s="92"/>
      <c r="F365" s="10"/>
      <c r="G365" s="10"/>
      <c r="H365" s="10"/>
      <c r="I365" s="10"/>
      <c r="J365" s="10"/>
      <c r="K365" s="10"/>
      <c r="L365" s="10" t="s">
        <v>802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35">
        <f t="shared" si="17"/>
        <v>291</v>
      </c>
      <c r="B366" s="51" t="s">
        <v>908</v>
      </c>
      <c r="C366" s="90" t="s">
        <v>909</v>
      </c>
      <c r="D366" s="48"/>
      <c r="E366" s="92"/>
      <c r="F366" s="10"/>
      <c r="G366" s="10"/>
      <c r="H366" s="10"/>
      <c r="I366" s="10"/>
      <c r="J366" s="10"/>
      <c r="K366" s="10"/>
      <c r="L366" s="10" t="s">
        <v>802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35">
        <f t="shared" si="17"/>
        <v>292</v>
      </c>
      <c r="B367" s="51" t="s">
        <v>910</v>
      </c>
      <c r="C367" s="90" t="s">
        <v>911</v>
      </c>
      <c r="D367" s="48"/>
      <c r="E367" s="92"/>
      <c r="F367" s="10"/>
      <c r="G367" s="10"/>
      <c r="H367" s="10"/>
      <c r="I367" s="10"/>
      <c r="J367" s="10"/>
      <c r="K367" s="10"/>
      <c r="L367" s="10" t="s">
        <v>802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35">
        <f t="shared" si="17"/>
        <v>293</v>
      </c>
      <c r="B368" s="48" t="s">
        <v>912</v>
      </c>
      <c r="C368" s="48" t="s">
        <v>913</v>
      </c>
      <c r="D368" s="48" t="s">
        <v>914</v>
      </c>
      <c r="E368" s="88" t="s">
        <v>915</v>
      </c>
      <c r="F368" s="10"/>
      <c r="G368" s="10"/>
      <c r="H368" s="10"/>
      <c r="I368" s="10"/>
      <c r="J368" s="10"/>
      <c r="K368" s="10"/>
      <c r="L368" s="10" t="s">
        <v>802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35">
        <f t="shared" si="17"/>
        <v>294</v>
      </c>
      <c r="B369" s="48" t="s">
        <v>916</v>
      </c>
      <c r="C369" s="48" t="s">
        <v>520</v>
      </c>
      <c r="D369" s="48" t="s">
        <v>917</v>
      </c>
      <c r="E369" s="93" t="s">
        <v>918</v>
      </c>
      <c r="F369" s="10"/>
      <c r="G369" s="10"/>
      <c r="H369" s="10"/>
      <c r="I369" s="10"/>
      <c r="J369" s="10"/>
      <c r="K369" s="10"/>
      <c r="L369" s="10" t="s">
        <v>802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35">
        <f t="shared" si="17"/>
        <v>295</v>
      </c>
      <c r="B370" s="48" t="s">
        <v>919</v>
      </c>
      <c r="C370" s="48" t="s">
        <v>920</v>
      </c>
      <c r="D370" s="48"/>
      <c r="E370" s="49" t="s">
        <v>921</v>
      </c>
      <c r="F370" s="10"/>
      <c r="G370" s="10"/>
      <c r="H370" s="10"/>
      <c r="I370" s="10"/>
      <c r="J370" s="10"/>
      <c r="K370" s="10"/>
      <c r="L370" s="10" t="s">
        <v>802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35">
        <f t="shared" si="17"/>
        <v>296</v>
      </c>
      <c r="B371" s="48" t="s">
        <v>919</v>
      </c>
      <c r="C371" s="48" t="s">
        <v>922</v>
      </c>
      <c r="D371" s="48"/>
      <c r="E371" s="49" t="s">
        <v>921</v>
      </c>
      <c r="F371" s="10"/>
      <c r="G371" s="10"/>
      <c r="H371" s="10"/>
      <c r="I371" s="10"/>
      <c r="J371" s="10"/>
      <c r="K371" s="10"/>
      <c r="L371" s="10" t="s">
        <v>802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35">
        <f t="shared" si="17"/>
        <v>297</v>
      </c>
      <c r="B372" s="48" t="s">
        <v>919</v>
      </c>
      <c r="C372" s="48" t="s">
        <v>923</v>
      </c>
      <c r="D372" s="48"/>
      <c r="E372" s="49" t="s">
        <v>921</v>
      </c>
      <c r="F372" s="10"/>
      <c r="G372" s="10"/>
      <c r="H372" s="10"/>
      <c r="I372" s="10"/>
      <c r="J372" s="10"/>
      <c r="K372" s="10"/>
      <c r="L372" s="10" t="s">
        <v>802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35">
        <f t="shared" si="17"/>
        <v>298</v>
      </c>
      <c r="B373" s="48" t="s">
        <v>924</v>
      </c>
      <c r="C373" s="48" t="s">
        <v>925</v>
      </c>
      <c r="D373" s="48"/>
      <c r="E373" s="49" t="s">
        <v>926</v>
      </c>
      <c r="F373" s="10"/>
      <c r="G373" s="10"/>
      <c r="H373" s="10"/>
      <c r="I373" s="10"/>
      <c r="J373" s="10"/>
      <c r="K373" s="10"/>
      <c r="L373" s="10" t="s">
        <v>802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35">
        <f t="shared" si="17"/>
        <v>299</v>
      </c>
      <c r="B374" s="51" t="s">
        <v>489</v>
      </c>
      <c r="C374" s="51" t="s">
        <v>927</v>
      </c>
      <c r="D374" s="48"/>
      <c r="E374" s="51" t="s">
        <v>928</v>
      </c>
      <c r="F374" s="10"/>
      <c r="G374" s="10"/>
      <c r="H374" s="10"/>
      <c r="I374" s="10"/>
      <c r="J374" s="10"/>
      <c r="K374" s="10"/>
      <c r="L374" s="10" t="s">
        <v>802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35">
        <f t="shared" si="17"/>
        <v>300</v>
      </c>
      <c r="B375" s="51" t="s">
        <v>929</v>
      </c>
      <c r="C375" s="51" t="s">
        <v>930</v>
      </c>
      <c r="D375" s="48"/>
      <c r="E375" s="91"/>
      <c r="F375" s="10"/>
      <c r="G375" s="10"/>
      <c r="H375" s="10"/>
      <c r="I375" s="10"/>
      <c r="J375" s="10"/>
      <c r="K375" s="10"/>
      <c r="L375" s="10" t="s">
        <v>802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35">
        <f t="shared" si="17"/>
        <v>301</v>
      </c>
      <c r="B376" s="51" t="s">
        <v>931</v>
      </c>
      <c r="C376" s="51" t="s">
        <v>932</v>
      </c>
      <c r="D376" s="48"/>
      <c r="E376" s="91"/>
      <c r="F376" s="10"/>
      <c r="G376" s="10"/>
      <c r="H376" s="10"/>
      <c r="I376" s="10"/>
      <c r="J376" s="10"/>
      <c r="K376" s="10"/>
      <c r="L376" s="10" t="s">
        <v>802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35">
        <f t="shared" si="17"/>
        <v>302</v>
      </c>
      <c r="B377" s="51" t="s">
        <v>931</v>
      </c>
      <c r="C377" s="90" t="s">
        <v>933</v>
      </c>
      <c r="D377" s="48"/>
      <c r="E377" s="91"/>
      <c r="F377" s="10"/>
      <c r="G377" s="10"/>
      <c r="H377" s="10"/>
      <c r="I377" s="10"/>
      <c r="J377" s="10"/>
      <c r="K377" s="10"/>
      <c r="L377" s="10" t="s">
        <v>802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35">
        <f t="shared" si="17"/>
        <v>303</v>
      </c>
      <c r="B378" s="51" t="s">
        <v>934</v>
      </c>
      <c r="C378" s="90" t="s">
        <v>935</v>
      </c>
      <c r="D378" s="48"/>
      <c r="E378" s="91" t="s">
        <v>936</v>
      </c>
      <c r="F378" s="10"/>
      <c r="G378" s="10"/>
      <c r="H378" s="10"/>
      <c r="I378" s="10"/>
      <c r="J378" s="10"/>
      <c r="K378" s="10"/>
      <c r="L378" s="10" t="s">
        <v>802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35">
        <f t="shared" si="17"/>
        <v>304</v>
      </c>
      <c r="B379" s="51" t="s">
        <v>937</v>
      </c>
      <c r="C379" s="90" t="s">
        <v>938</v>
      </c>
      <c r="D379" s="48"/>
      <c r="E379" s="50"/>
      <c r="F379" s="50"/>
      <c r="G379" s="50"/>
      <c r="H379" s="50"/>
      <c r="I379" s="50"/>
      <c r="J379" s="50"/>
      <c r="K379" s="50"/>
      <c r="L379" s="10" t="s">
        <v>802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35">
        <f t="shared" si="17"/>
        <v>305</v>
      </c>
      <c r="B380" s="48" t="s">
        <v>939</v>
      </c>
      <c r="C380" s="48" t="s">
        <v>940</v>
      </c>
      <c r="D380" s="48" t="s">
        <v>259</v>
      </c>
      <c r="E380" s="49"/>
      <c r="F380" s="10"/>
      <c r="G380" s="10"/>
      <c r="H380" s="10"/>
      <c r="I380" s="10"/>
      <c r="J380" s="10"/>
      <c r="K380" s="10"/>
      <c r="L380" s="10" t="s">
        <v>802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35">
        <f t="shared" si="17"/>
        <v>306</v>
      </c>
      <c r="B381" s="48" t="s">
        <v>941</v>
      </c>
      <c r="C381" s="48" t="s">
        <v>942</v>
      </c>
      <c r="D381" s="48" t="s">
        <v>943</v>
      </c>
      <c r="E381" s="49"/>
      <c r="F381" s="10"/>
      <c r="G381" s="10"/>
      <c r="H381" s="10"/>
      <c r="I381" s="10"/>
      <c r="J381" s="10"/>
      <c r="K381" s="10"/>
      <c r="L381" s="10" t="s">
        <v>802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35">
        <f t="shared" si="17"/>
        <v>307</v>
      </c>
      <c r="B382" s="48" t="s">
        <v>944</v>
      </c>
      <c r="C382" s="48" t="s">
        <v>945</v>
      </c>
      <c r="D382" s="48" t="s">
        <v>946</v>
      </c>
      <c r="E382" s="49"/>
      <c r="F382" s="10"/>
      <c r="G382" s="10"/>
      <c r="H382" s="10"/>
      <c r="I382" s="10"/>
      <c r="J382" s="10"/>
      <c r="K382" s="10"/>
      <c r="L382" s="10" t="s">
        <v>802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35">
        <f t="shared" si="17"/>
        <v>308</v>
      </c>
      <c r="B383" s="48" t="s">
        <v>947</v>
      </c>
      <c r="C383" s="48" t="s">
        <v>948</v>
      </c>
      <c r="D383" s="48" t="s">
        <v>949</v>
      </c>
      <c r="E383" s="49"/>
      <c r="F383" s="10"/>
      <c r="G383" s="10"/>
      <c r="H383" s="10"/>
      <c r="I383" s="10"/>
      <c r="J383" s="10"/>
      <c r="K383" s="10"/>
      <c r="L383" s="10" t="s">
        <v>802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32" t="s">
        <v>950</v>
      </c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78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 t="s">
        <v>3</v>
      </c>
      <c r="B385" s="7" t="s">
        <v>4</v>
      </c>
      <c r="C385" s="7" t="s">
        <v>5</v>
      </c>
      <c r="D385" s="7" t="s">
        <v>6</v>
      </c>
      <c r="E385" s="8" t="s">
        <v>7</v>
      </c>
      <c r="F385" s="8" t="s">
        <v>8</v>
      </c>
      <c r="G385" s="8" t="s">
        <v>9</v>
      </c>
      <c r="H385" s="8" t="s">
        <v>10</v>
      </c>
      <c r="I385" s="8" t="s">
        <v>11</v>
      </c>
      <c r="J385" s="8" t="s">
        <v>12</v>
      </c>
      <c r="K385" s="8" t="s">
        <v>13</v>
      </c>
      <c r="L385" s="8" t="s">
        <v>14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35">
        <f>+A383+1</f>
        <v>309</v>
      </c>
      <c r="B386" s="51" t="s">
        <v>951</v>
      </c>
      <c r="C386" s="90" t="s">
        <v>952</v>
      </c>
      <c r="D386" s="51"/>
      <c r="E386" s="51" t="s">
        <v>953</v>
      </c>
      <c r="F386" s="51"/>
      <c r="G386" s="51"/>
      <c r="H386" s="51"/>
      <c r="I386" s="51"/>
      <c r="J386" s="51"/>
      <c r="K386" s="51"/>
      <c r="L386" s="50" t="s">
        <v>954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35">
        <f t="shared" ref="A387:A466" si="18">+A386+1</f>
        <v>310</v>
      </c>
      <c r="B387" s="51" t="s">
        <v>951</v>
      </c>
      <c r="C387" s="90" t="s">
        <v>955</v>
      </c>
      <c r="D387" s="51"/>
      <c r="E387" s="51" t="s">
        <v>953</v>
      </c>
      <c r="F387" s="51"/>
      <c r="G387" s="51"/>
      <c r="H387" s="51"/>
      <c r="I387" s="51"/>
      <c r="J387" s="51"/>
      <c r="K387" s="51"/>
      <c r="L387" s="50" t="s">
        <v>954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35">
        <f t="shared" si="18"/>
        <v>311</v>
      </c>
      <c r="B388" s="51" t="s">
        <v>951</v>
      </c>
      <c r="C388" s="90" t="s">
        <v>956</v>
      </c>
      <c r="D388" s="51"/>
      <c r="E388" s="51" t="s">
        <v>953</v>
      </c>
      <c r="F388" s="51"/>
      <c r="G388" s="51"/>
      <c r="H388" s="51"/>
      <c r="I388" s="51"/>
      <c r="J388" s="51"/>
      <c r="K388" s="51"/>
      <c r="L388" s="50" t="s">
        <v>954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35">
        <f t="shared" si="18"/>
        <v>312</v>
      </c>
      <c r="B389" s="51" t="s">
        <v>957</v>
      </c>
      <c r="C389" s="90" t="s">
        <v>958</v>
      </c>
      <c r="D389" s="51"/>
      <c r="E389" s="51" t="s">
        <v>959</v>
      </c>
      <c r="F389" s="51"/>
      <c r="G389" s="51"/>
      <c r="H389" s="51"/>
      <c r="I389" s="51"/>
      <c r="J389" s="51"/>
      <c r="K389" s="51"/>
      <c r="L389" s="50" t="s">
        <v>954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35">
        <f t="shared" si="18"/>
        <v>313</v>
      </c>
      <c r="B390" s="51" t="s">
        <v>957</v>
      </c>
      <c r="C390" s="90" t="s">
        <v>960</v>
      </c>
      <c r="D390" s="51"/>
      <c r="E390" s="51" t="s">
        <v>961</v>
      </c>
      <c r="F390" s="51"/>
      <c r="G390" s="51"/>
      <c r="H390" s="51"/>
      <c r="I390" s="51"/>
      <c r="J390" s="51"/>
      <c r="K390" s="51"/>
      <c r="L390" s="50" t="s">
        <v>954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35">
        <f t="shared" si="18"/>
        <v>314</v>
      </c>
      <c r="B391" s="51" t="s">
        <v>957</v>
      </c>
      <c r="C391" s="90" t="s">
        <v>962</v>
      </c>
      <c r="D391" s="51"/>
      <c r="E391" s="51"/>
      <c r="F391" s="51"/>
      <c r="G391" s="51"/>
      <c r="H391" s="51"/>
      <c r="I391" s="51"/>
      <c r="J391" s="51"/>
      <c r="K391" s="51"/>
      <c r="L391" s="50" t="s">
        <v>954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35">
        <f t="shared" si="18"/>
        <v>315</v>
      </c>
      <c r="B392" s="51" t="s">
        <v>957</v>
      </c>
      <c r="C392" s="90" t="s">
        <v>963</v>
      </c>
      <c r="D392" s="51"/>
      <c r="E392" s="51" t="s">
        <v>964</v>
      </c>
      <c r="F392" s="51"/>
      <c r="G392" s="51"/>
      <c r="H392" s="51"/>
      <c r="I392" s="51"/>
      <c r="J392" s="51"/>
      <c r="K392" s="51"/>
      <c r="L392" s="50" t="s">
        <v>954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35">
        <f t="shared" si="18"/>
        <v>316</v>
      </c>
      <c r="B393" s="51" t="s">
        <v>957</v>
      </c>
      <c r="C393" s="90" t="s">
        <v>965</v>
      </c>
      <c r="D393" s="51"/>
      <c r="E393" s="51" t="s">
        <v>966</v>
      </c>
      <c r="F393" s="51"/>
      <c r="G393" s="51"/>
      <c r="H393" s="51"/>
      <c r="I393" s="51"/>
      <c r="J393" s="51"/>
      <c r="K393" s="51"/>
      <c r="L393" s="50" t="s">
        <v>954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35">
        <f t="shared" si="18"/>
        <v>317</v>
      </c>
      <c r="B394" s="51" t="s">
        <v>967</v>
      </c>
      <c r="C394" s="90" t="s">
        <v>968</v>
      </c>
      <c r="D394" s="51"/>
      <c r="E394" s="51" t="s">
        <v>969</v>
      </c>
      <c r="F394" s="51"/>
      <c r="G394" s="51"/>
      <c r="H394" s="51"/>
      <c r="I394" s="51"/>
      <c r="J394" s="51"/>
      <c r="K394" s="51"/>
      <c r="L394" s="50" t="s">
        <v>954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35">
        <f t="shared" si="18"/>
        <v>318</v>
      </c>
      <c r="B395" s="51" t="s">
        <v>967</v>
      </c>
      <c r="C395" s="90" t="s">
        <v>970</v>
      </c>
      <c r="D395" s="51"/>
      <c r="E395" s="51" t="s">
        <v>971</v>
      </c>
      <c r="F395" s="51"/>
      <c r="G395" s="51"/>
      <c r="H395" s="51"/>
      <c r="I395" s="51"/>
      <c r="J395" s="51"/>
      <c r="K395" s="51"/>
      <c r="L395" s="50" t="s">
        <v>954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35">
        <f t="shared" si="18"/>
        <v>319</v>
      </c>
      <c r="B396" s="51" t="s">
        <v>972</v>
      </c>
      <c r="C396" s="90" t="s">
        <v>973</v>
      </c>
      <c r="D396" s="51"/>
      <c r="E396" s="51" t="s">
        <v>974</v>
      </c>
      <c r="F396" s="51"/>
      <c r="G396" s="51"/>
      <c r="H396" s="51"/>
      <c r="I396" s="51"/>
      <c r="J396" s="51"/>
      <c r="K396" s="51"/>
      <c r="L396" s="50" t="s">
        <v>954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35">
        <f t="shared" si="18"/>
        <v>320</v>
      </c>
      <c r="B397" s="51" t="s">
        <v>972</v>
      </c>
      <c r="C397" s="90" t="s">
        <v>975</v>
      </c>
      <c r="D397" s="51"/>
      <c r="E397" s="51" t="s">
        <v>974</v>
      </c>
      <c r="F397" s="51"/>
      <c r="G397" s="51"/>
      <c r="H397" s="51"/>
      <c r="I397" s="51"/>
      <c r="J397" s="51"/>
      <c r="K397" s="51"/>
      <c r="L397" s="50" t="s">
        <v>954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35">
        <f t="shared" si="18"/>
        <v>321</v>
      </c>
      <c r="B398" s="51" t="s">
        <v>976</v>
      </c>
      <c r="C398" s="90" t="s">
        <v>977</v>
      </c>
      <c r="D398" s="51"/>
      <c r="E398" s="51" t="s">
        <v>978</v>
      </c>
      <c r="F398" s="51"/>
      <c r="G398" s="51"/>
      <c r="H398" s="51"/>
      <c r="I398" s="51"/>
      <c r="J398" s="51"/>
      <c r="K398" s="51"/>
      <c r="L398" s="50" t="s">
        <v>954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35">
        <f t="shared" si="18"/>
        <v>322</v>
      </c>
      <c r="B399" s="51" t="s">
        <v>976</v>
      </c>
      <c r="C399" s="90" t="s">
        <v>979</v>
      </c>
      <c r="D399" s="51"/>
      <c r="E399" s="51" t="s">
        <v>978</v>
      </c>
      <c r="F399" s="51"/>
      <c r="G399" s="51"/>
      <c r="H399" s="51"/>
      <c r="I399" s="51"/>
      <c r="J399" s="51"/>
      <c r="K399" s="51"/>
      <c r="L399" s="50" t="s">
        <v>954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35">
        <f t="shared" si="18"/>
        <v>323</v>
      </c>
      <c r="B400" s="51" t="s">
        <v>976</v>
      </c>
      <c r="C400" s="90" t="s">
        <v>980</v>
      </c>
      <c r="D400" s="51"/>
      <c r="E400" s="51" t="s">
        <v>978</v>
      </c>
      <c r="F400" s="51"/>
      <c r="G400" s="51"/>
      <c r="H400" s="51"/>
      <c r="I400" s="51"/>
      <c r="J400" s="51"/>
      <c r="K400" s="51"/>
      <c r="L400" s="50" t="s">
        <v>954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35">
        <f t="shared" si="18"/>
        <v>324</v>
      </c>
      <c r="B401" s="51" t="s">
        <v>976</v>
      </c>
      <c r="C401" s="90" t="s">
        <v>980</v>
      </c>
      <c r="D401" s="51"/>
      <c r="E401" s="51" t="s">
        <v>978</v>
      </c>
      <c r="F401" s="51"/>
      <c r="G401" s="51"/>
      <c r="H401" s="51"/>
      <c r="I401" s="51"/>
      <c r="J401" s="51"/>
      <c r="K401" s="51"/>
      <c r="L401" s="50" t="s">
        <v>954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35">
        <f t="shared" si="18"/>
        <v>325</v>
      </c>
      <c r="B402" s="51" t="s">
        <v>976</v>
      </c>
      <c r="C402" s="90" t="s">
        <v>980</v>
      </c>
      <c r="D402" s="51"/>
      <c r="E402" s="51" t="s">
        <v>981</v>
      </c>
      <c r="F402" s="51"/>
      <c r="G402" s="51"/>
      <c r="H402" s="51"/>
      <c r="I402" s="51"/>
      <c r="J402" s="51"/>
      <c r="K402" s="51"/>
      <c r="L402" s="50" t="s">
        <v>954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35">
        <f t="shared" si="18"/>
        <v>326</v>
      </c>
      <c r="B403" s="51" t="s">
        <v>982</v>
      </c>
      <c r="C403" s="90" t="s">
        <v>983</v>
      </c>
      <c r="D403" s="51"/>
      <c r="E403" s="51" t="s">
        <v>981</v>
      </c>
      <c r="F403" s="51"/>
      <c r="G403" s="51"/>
      <c r="H403" s="51"/>
      <c r="I403" s="51"/>
      <c r="J403" s="51"/>
      <c r="K403" s="51"/>
      <c r="L403" s="50" t="s">
        <v>954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35">
        <f t="shared" si="18"/>
        <v>327</v>
      </c>
      <c r="B404" s="51" t="s">
        <v>982</v>
      </c>
      <c r="C404" s="90" t="s">
        <v>984</v>
      </c>
      <c r="D404" s="51"/>
      <c r="E404" s="51" t="s">
        <v>981</v>
      </c>
      <c r="F404" s="51"/>
      <c r="G404" s="51"/>
      <c r="H404" s="51"/>
      <c r="I404" s="51"/>
      <c r="J404" s="51"/>
      <c r="K404" s="51"/>
      <c r="L404" s="50" t="s">
        <v>954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35">
        <f t="shared" si="18"/>
        <v>328</v>
      </c>
      <c r="B405" s="51" t="s">
        <v>982</v>
      </c>
      <c r="C405" s="90" t="s">
        <v>985</v>
      </c>
      <c r="D405" s="51"/>
      <c r="E405" s="51" t="s">
        <v>981</v>
      </c>
      <c r="F405" s="51"/>
      <c r="G405" s="51"/>
      <c r="H405" s="51"/>
      <c r="I405" s="51"/>
      <c r="J405" s="51"/>
      <c r="K405" s="51"/>
      <c r="L405" s="50" t="s">
        <v>954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35">
        <f t="shared" si="18"/>
        <v>329</v>
      </c>
      <c r="B406" s="51" t="s">
        <v>982</v>
      </c>
      <c r="C406" s="90" t="s">
        <v>986</v>
      </c>
      <c r="D406" s="51"/>
      <c r="E406" s="51" t="s">
        <v>981</v>
      </c>
      <c r="F406" s="51"/>
      <c r="G406" s="51"/>
      <c r="H406" s="51"/>
      <c r="I406" s="51"/>
      <c r="J406" s="51"/>
      <c r="K406" s="51"/>
      <c r="L406" s="50" t="s">
        <v>954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35">
        <f t="shared" si="18"/>
        <v>330</v>
      </c>
      <c r="B407" s="51" t="s">
        <v>982</v>
      </c>
      <c r="C407" s="90" t="s">
        <v>987</v>
      </c>
      <c r="D407" s="51"/>
      <c r="E407" s="51" t="s">
        <v>981</v>
      </c>
      <c r="F407" s="51"/>
      <c r="G407" s="51"/>
      <c r="H407" s="51"/>
      <c r="I407" s="51"/>
      <c r="J407" s="51"/>
      <c r="K407" s="51"/>
      <c r="L407" s="50" t="s">
        <v>954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35">
        <f t="shared" si="18"/>
        <v>331</v>
      </c>
      <c r="B408" s="51" t="s">
        <v>982</v>
      </c>
      <c r="C408" s="90" t="s">
        <v>988</v>
      </c>
      <c r="D408" s="51"/>
      <c r="E408" s="51" t="s">
        <v>981</v>
      </c>
      <c r="F408" s="51"/>
      <c r="G408" s="51"/>
      <c r="H408" s="51"/>
      <c r="I408" s="51"/>
      <c r="J408" s="51"/>
      <c r="K408" s="51"/>
      <c r="L408" s="50" t="s">
        <v>954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35">
        <f t="shared" si="18"/>
        <v>332</v>
      </c>
      <c r="B409" s="51" t="s">
        <v>982</v>
      </c>
      <c r="C409" s="90" t="s">
        <v>989</v>
      </c>
      <c r="D409" s="51"/>
      <c r="E409" s="51" t="s">
        <v>981</v>
      </c>
      <c r="F409" s="51"/>
      <c r="G409" s="51"/>
      <c r="H409" s="51"/>
      <c r="I409" s="51"/>
      <c r="J409" s="51"/>
      <c r="K409" s="51"/>
      <c r="L409" s="50" t="s">
        <v>954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35">
        <f t="shared" si="18"/>
        <v>333</v>
      </c>
      <c r="B410" s="51" t="s">
        <v>982</v>
      </c>
      <c r="C410" s="90" t="s">
        <v>990</v>
      </c>
      <c r="D410" s="51"/>
      <c r="E410" s="51" t="s">
        <v>981</v>
      </c>
      <c r="F410" s="51"/>
      <c r="G410" s="51"/>
      <c r="H410" s="51"/>
      <c r="I410" s="51"/>
      <c r="J410" s="51"/>
      <c r="K410" s="51"/>
      <c r="L410" s="50" t="s">
        <v>954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35">
        <f t="shared" si="18"/>
        <v>334</v>
      </c>
      <c r="B411" s="51" t="s">
        <v>982</v>
      </c>
      <c r="C411" s="90" t="s">
        <v>991</v>
      </c>
      <c r="D411" s="51"/>
      <c r="E411" s="51" t="s">
        <v>981</v>
      </c>
      <c r="F411" s="51"/>
      <c r="G411" s="51"/>
      <c r="H411" s="51"/>
      <c r="I411" s="51"/>
      <c r="J411" s="51"/>
      <c r="K411" s="51"/>
      <c r="L411" s="50" t="s">
        <v>954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35">
        <f t="shared" si="18"/>
        <v>335</v>
      </c>
      <c r="B412" s="51" t="s">
        <v>992</v>
      </c>
      <c r="C412" s="90" t="s">
        <v>993</v>
      </c>
      <c r="D412" s="51"/>
      <c r="E412" s="51" t="s">
        <v>994</v>
      </c>
      <c r="F412" s="51"/>
      <c r="G412" s="51"/>
      <c r="H412" s="51"/>
      <c r="I412" s="51"/>
      <c r="J412" s="51"/>
      <c r="K412" s="51"/>
      <c r="L412" s="50" t="s">
        <v>954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35">
        <f t="shared" si="18"/>
        <v>336</v>
      </c>
      <c r="B413" s="51" t="s">
        <v>992</v>
      </c>
      <c r="C413" s="90" t="s">
        <v>995</v>
      </c>
      <c r="D413" s="51"/>
      <c r="E413" s="51" t="s">
        <v>994</v>
      </c>
      <c r="F413" s="51"/>
      <c r="G413" s="51"/>
      <c r="H413" s="51"/>
      <c r="I413" s="51"/>
      <c r="J413" s="51"/>
      <c r="K413" s="51"/>
      <c r="L413" s="50" t="s">
        <v>954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35">
        <f t="shared" si="18"/>
        <v>337</v>
      </c>
      <c r="B414" s="51" t="s">
        <v>992</v>
      </c>
      <c r="C414" s="90" t="s">
        <v>996</v>
      </c>
      <c r="D414" s="51"/>
      <c r="E414" s="51" t="s">
        <v>994</v>
      </c>
      <c r="F414" s="51"/>
      <c r="G414" s="51"/>
      <c r="H414" s="51"/>
      <c r="I414" s="51"/>
      <c r="J414" s="51"/>
      <c r="K414" s="51"/>
      <c r="L414" s="50" t="s">
        <v>954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35">
        <f t="shared" si="18"/>
        <v>338</v>
      </c>
      <c r="B415" s="51" t="s">
        <v>992</v>
      </c>
      <c r="C415" s="90" t="s">
        <v>997</v>
      </c>
      <c r="D415" s="51"/>
      <c r="E415" s="51" t="s">
        <v>994</v>
      </c>
      <c r="F415" s="51"/>
      <c r="G415" s="51"/>
      <c r="H415" s="51"/>
      <c r="I415" s="51"/>
      <c r="J415" s="51"/>
      <c r="K415" s="51"/>
      <c r="L415" s="50" t="s">
        <v>954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35">
        <f t="shared" si="18"/>
        <v>339</v>
      </c>
      <c r="B416" s="51" t="s">
        <v>992</v>
      </c>
      <c r="C416" s="90" t="s">
        <v>998</v>
      </c>
      <c r="D416" s="51"/>
      <c r="E416" s="51" t="s">
        <v>994</v>
      </c>
      <c r="F416" s="51"/>
      <c r="G416" s="51"/>
      <c r="H416" s="51"/>
      <c r="I416" s="51"/>
      <c r="J416" s="51"/>
      <c r="K416" s="51"/>
      <c r="L416" s="50" t="s">
        <v>954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35">
        <f t="shared" si="18"/>
        <v>340</v>
      </c>
      <c r="B417" s="51" t="s">
        <v>992</v>
      </c>
      <c r="C417" s="90" t="s">
        <v>999</v>
      </c>
      <c r="D417" s="51"/>
      <c r="E417" s="51" t="s">
        <v>994</v>
      </c>
      <c r="F417" s="51"/>
      <c r="G417" s="51"/>
      <c r="H417" s="51"/>
      <c r="I417" s="51"/>
      <c r="J417" s="51"/>
      <c r="K417" s="51"/>
      <c r="L417" s="50" t="s">
        <v>954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35">
        <f t="shared" si="18"/>
        <v>341</v>
      </c>
      <c r="B418" s="51" t="s">
        <v>992</v>
      </c>
      <c r="C418" s="90" t="s">
        <v>1000</v>
      </c>
      <c r="D418" s="51"/>
      <c r="E418" s="51" t="s">
        <v>994</v>
      </c>
      <c r="F418" s="51"/>
      <c r="G418" s="51"/>
      <c r="H418" s="51"/>
      <c r="I418" s="51"/>
      <c r="J418" s="51"/>
      <c r="K418" s="51"/>
      <c r="L418" s="50" t="s">
        <v>954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35">
        <f t="shared" si="18"/>
        <v>342</v>
      </c>
      <c r="B419" s="51" t="s">
        <v>992</v>
      </c>
      <c r="C419" s="90" t="s">
        <v>1001</v>
      </c>
      <c r="D419" s="51"/>
      <c r="E419" s="51" t="s">
        <v>994</v>
      </c>
      <c r="F419" s="51"/>
      <c r="G419" s="51"/>
      <c r="H419" s="51"/>
      <c r="I419" s="51"/>
      <c r="J419" s="51"/>
      <c r="K419" s="51"/>
      <c r="L419" s="50" t="s">
        <v>954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35">
        <f t="shared" si="18"/>
        <v>343</v>
      </c>
      <c r="B420" s="51" t="s">
        <v>992</v>
      </c>
      <c r="C420" s="90" t="s">
        <v>1002</v>
      </c>
      <c r="D420" s="51"/>
      <c r="E420" s="51" t="s">
        <v>994</v>
      </c>
      <c r="F420" s="51"/>
      <c r="G420" s="51"/>
      <c r="H420" s="51"/>
      <c r="I420" s="51"/>
      <c r="J420" s="51"/>
      <c r="K420" s="51"/>
      <c r="L420" s="50" t="s">
        <v>954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35">
        <f t="shared" si="18"/>
        <v>344</v>
      </c>
      <c r="B421" s="51" t="s">
        <v>1003</v>
      </c>
      <c r="C421" s="90" t="s">
        <v>1004</v>
      </c>
      <c r="D421" s="51"/>
      <c r="E421" s="51" t="s">
        <v>1005</v>
      </c>
      <c r="F421" s="51"/>
      <c r="G421" s="51"/>
      <c r="H421" s="51"/>
      <c r="I421" s="51"/>
      <c r="J421" s="51"/>
      <c r="K421" s="51"/>
      <c r="L421" s="50" t="s">
        <v>954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35">
        <f t="shared" si="18"/>
        <v>345</v>
      </c>
      <c r="B422" s="51" t="s">
        <v>1003</v>
      </c>
      <c r="C422" s="90" t="s">
        <v>1006</v>
      </c>
      <c r="D422" s="51"/>
      <c r="E422" s="51" t="s">
        <v>1005</v>
      </c>
      <c r="F422" s="51"/>
      <c r="G422" s="51"/>
      <c r="H422" s="51"/>
      <c r="I422" s="51"/>
      <c r="J422" s="51"/>
      <c r="K422" s="51"/>
      <c r="L422" s="50" t="s">
        <v>954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35">
        <f t="shared" si="18"/>
        <v>346</v>
      </c>
      <c r="B423" s="51" t="s">
        <v>1003</v>
      </c>
      <c r="C423" s="90" t="s">
        <v>1007</v>
      </c>
      <c r="D423" s="51"/>
      <c r="E423" s="51" t="s">
        <v>1005</v>
      </c>
      <c r="F423" s="51"/>
      <c r="G423" s="51"/>
      <c r="H423" s="51"/>
      <c r="I423" s="51"/>
      <c r="J423" s="51"/>
      <c r="K423" s="51"/>
      <c r="L423" s="50" t="s">
        <v>954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35">
        <f t="shared" si="18"/>
        <v>347</v>
      </c>
      <c r="B424" s="51" t="s">
        <v>1003</v>
      </c>
      <c r="C424" s="90" t="s">
        <v>1008</v>
      </c>
      <c r="D424" s="51"/>
      <c r="E424" s="51" t="s">
        <v>1005</v>
      </c>
      <c r="F424" s="51"/>
      <c r="G424" s="51"/>
      <c r="H424" s="51"/>
      <c r="I424" s="51"/>
      <c r="J424" s="51"/>
      <c r="K424" s="51"/>
      <c r="L424" s="50" t="s">
        <v>954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35">
        <f t="shared" si="18"/>
        <v>348</v>
      </c>
      <c r="B425" s="51" t="s">
        <v>1003</v>
      </c>
      <c r="C425" s="90" t="s">
        <v>1009</v>
      </c>
      <c r="D425" s="51"/>
      <c r="E425" s="51" t="s">
        <v>1005</v>
      </c>
      <c r="F425" s="51"/>
      <c r="G425" s="51"/>
      <c r="H425" s="51"/>
      <c r="I425" s="51"/>
      <c r="J425" s="51"/>
      <c r="K425" s="51"/>
      <c r="L425" s="50" t="s">
        <v>954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35">
        <f t="shared" si="18"/>
        <v>349</v>
      </c>
      <c r="B426" s="51" t="s">
        <v>1003</v>
      </c>
      <c r="C426" s="90" t="s">
        <v>1010</v>
      </c>
      <c r="D426" s="51"/>
      <c r="E426" s="51" t="s">
        <v>1005</v>
      </c>
      <c r="F426" s="51"/>
      <c r="G426" s="51"/>
      <c r="H426" s="51"/>
      <c r="I426" s="51"/>
      <c r="J426" s="51"/>
      <c r="K426" s="51"/>
      <c r="L426" s="50" t="s">
        <v>954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35">
        <f t="shared" si="18"/>
        <v>350</v>
      </c>
      <c r="B427" s="51" t="s">
        <v>1011</v>
      </c>
      <c r="C427" s="90" t="s">
        <v>1012</v>
      </c>
      <c r="D427" s="51"/>
      <c r="E427" s="51" t="s">
        <v>1013</v>
      </c>
      <c r="F427" s="51"/>
      <c r="G427" s="51"/>
      <c r="H427" s="51"/>
      <c r="I427" s="51"/>
      <c r="J427" s="51"/>
      <c r="K427" s="51"/>
      <c r="L427" s="50" t="s">
        <v>954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35">
        <f t="shared" si="18"/>
        <v>351</v>
      </c>
      <c r="B428" s="51" t="s">
        <v>1014</v>
      </c>
      <c r="C428" s="90" t="s">
        <v>1015</v>
      </c>
      <c r="D428" s="51"/>
      <c r="E428" s="51"/>
      <c r="F428" s="51"/>
      <c r="G428" s="51"/>
      <c r="H428" s="51"/>
      <c r="I428" s="51"/>
      <c r="J428" s="51"/>
      <c r="K428" s="51"/>
      <c r="L428" s="50" t="s">
        <v>954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35">
        <f t="shared" si="18"/>
        <v>352</v>
      </c>
      <c r="B429" s="51" t="s">
        <v>1016</v>
      </c>
      <c r="C429" s="90" t="s">
        <v>1017</v>
      </c>
      <c r="D429" s="51"/>
      <c r="E429" s="51"/>
      <c r="F429" s="51"/>
      <c r="G429" s="51"/>
      <c r="H429" s="51"/>
      <c r="I429" s="51"/>
      <c r="J429" s="51"/>
      <c r="K429" s="51"/>
      <c r="L429" s="50" t="s">
        <v>954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35">
        <f t="shared" si="18"/>
        <v>353</v>
      </c>
      <c r="B430" s="51" t="s">
        <v>1018</v>
      </c>
      <c r="C430" s="90" t="s">
        <v>1019</v>
      </c>
      <c r="D430" s="90"/>
      <c r="E430" s="51"/>
      <c r="F430" s="51"/>
      <c r="G430" s="51"/>
      <c r="H430" s="51"/>
      <c r="I430" s="51"/>
      <c r="J430" s="51"/>
      <c r="K430" s="51"/>
      <c r="L430" s="50" t="s">
        <v>954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35">
        <f t="shared" si="18"/>
        <v>354</v>
      </c>
      <c r="B431" s="51" t="s">
        <v>1020</v>
      </c>
      <c r="C431" s="90" t="s">
        <v>1021</v>
      </c>
      <c r="D431" s="90"/>
      <c r="E431" s="51"/>
      <c r="F431" s="51"/>
      <c r="G431" s="51"/>
      <c r="H431" s="51"/>
      <c r="I431" s="51"/>
      <c r="J431" s="51"/>
      <c r="K431" s="51"/>
      <c r="L431" s="50" t="s">
        <v>954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35">
        <f t="shared" si="18"/>
        <v>355</v>
      </c>
      <c r="B432" s="51" t="s">
        <v>1022</v>
      </c>
      <c r="C432" s="90" t="s">
        <v>1023</v>
      </c>
      <c r="D432" s="90"/>
      <c r="E432" s="51"/>
      <c r="F432" s="51"/>
      <c r="G432" s="51"/>
      <c r="H432" s="51"/>
      <c r="I432" s="51"/>
      <c r="J432" s="51"/>
      <c r="K432" s="51"/>
      <c r="L432" s="50" t="s">
        <v>954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35">
        <f t="shared" si="18"/>
        <v>356</v>
      </c>
      <c r="B433" s="51" t="s">
        <v>1024</v>
      </c>
      <c r="C433" s="90" t="s">
        <v>1025</v>
      </c>
      <c r="D433" s="90"/>
      <c r="E433" s="51"/>
      <c r="F433" s="51"/>
      <c r="G433" s="51"/>
      <c r="H433" s="51"/>
      <c r="I433" s="51"/>
      <c r="J433" s="51"/>
      <c r="K433" s="51"/>
      <c r="L433" s="50" t="s">
        <v>954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35">
        <f t="shared" si="18"/>
        <v>357</v>
      </c>
      <c r="B434" s="51" t="s">
        <v>1026</v>
      </c>
      <c r="C434" s="90" t="s">
        <v>1027</v>
      </c>
      <c r="D434" s="90"/>
      <c r="E434" s="51"/>
      <c r="F434" s="51"/>
      <c r="G434" s="51"/>
      <c r="H434" s="51"/>
      <c r="I434" s="51"/>
      <c r="J434" s="51"/>
      <c r="K434" s="51"/>
      <c r="L434" s="50" t="s">
        <v>954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35">
        <f t="shared" si="18"/>
        <v>358</v>
      </c>
      <c r="B435" s="51" t="s">
        <v>1028</v>
      </c>
      <c r="C435" s="51" t="s">
        <v>1029</v>
      </c>
      <c r="D435" s="51"/>
      <c r="E435" s="51" t="s">
        <v>1030</v>
      </c>
      <c r="F435" s="51"/>
      <c r="G435" s="51"/>
      <c r="H435" s="51"/>
      <c r="I435" s="51"/>
      <c r="J435" s="51"/>
      <c r="K435" s="51"/>
      <c r="L435" s="50" t="s">
        <v>954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35">
        <f t="shared" si="18"/>
        <v>359</v>
      </c>
      <c r="B436" s="60" t="s">
        <v>1031</v>
      </c>
      <c r="C436" s="51" t="s">
        <v>1032</v>
      </c>
      <c r="D436" s="51"/>
      <c r="E436" s="51" t="s">
        <v>1033</v>
      </c>
      <c r="F436" s="51"/>
      <c r="G436" s="51"/>
      <c r="H436" s="51"/>
      <c r="I436" s="51"/>
      <c r="J436" s="51"/>
      <c r="K436" s="51"/>
      <c r="L436" s="50" t="s">
        <v>954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35">
        <f t="shared" si="18"/>
        <v>360</v>
      </c>
      <c r="B437" s="60" t="s">
        <v>1031</v>
      </c>
      <c r="C437" s="51" t="s">
        <v>1034</v>
      </c>
      <c r="D437" s="51"/>
      <c r="E437" s="51" t="s">
        <v>1033</v>
      </c>
      <c r="F437" s="51"/>
      <c r="G437" s="51"/>
      <c r="H437" s="51"/>
      <c r="I437" s="51"/>
      <c r="J437" s="51"/>
      <c r="K437" s="51"/>
      <c r="L437" s="50" t="s">
        <v>954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35">
        <f t="shared" si="18"/>
        <v>361</v>
      </c>
      <c r="B438" s="51" t="s">
        <v>1035</v>
      </c>
      <c r="C438" s="51" t="s">
        <v>1036</v>
      </c>
      <c r="D438" s="51"/>
      <c r="E438" s="51" t="s">
        <v>1037</v>
      </c>
      <c r="F438" s="51"/>
      <c r="G438" s="51"/>
      <c r="H438" s="51"/>
      <c r="I438" s="51"/>
      <c r="J438" s="51"/>
      <c r="K438" s="51"/>
      <c r="L438" s="50" t="s">
        <v>954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35">
        <f t="shared" si="18"/>
        <v>362</v>
      </c>
      <c r="B439" s="51" t="s">
        <v>1035</v>
      </c>
      <c r="C439" s="51" t="s">
        <v>1038</v>
      </c>
      <c r="D439" s="51"/>
      <c r="E439" s="51" t="s">
        <v>1037</v>
      </c>
      <c r="F439" s="51"/>
      <c r="G439" s="51"/>
      <c r="H439" s="51"/>
      <c r="I439" s="51"/>
      <c r="J439" s="51"/>
      <c r="K439" s="51"/>
      <c r="L439" s="50" t="s">
        <v>954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35">
        <f t="shared" si="18"/>
        <v>363</v>
      </c>
      <c r="B440" s="51" t="s">
        <v>1035</v>
      </c>
      <c r="C440" s="51" t="s">
        <v>1039</v>
      </c>
      <c r="D440" s="51"/>
      <c r="E440" s="51" t="s">
        <v>1037</v>
      </c>
      <c r="F440" s="51"/>
      <c r="G440" s="51"/>
      <c r="H440" s="51"/>
      <c r="I440" s="51"/>
      <c r="J440" s="51"/>
      <c r="K440" s="51"/>
      <c r="L440" s="50" t="s">
        <v>954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35">
        <f t="shared" si="18"/>
        <v>364</v>
      </c>
      <c r="B441" s="51" t="s">
        <v>1035</v>
      </c>
      <c r="C441" s="51" t="s">
        <v>1040</v>
      </c>
      <c r="D441" s="51"/>
      <c r="E441" s="51" t="s">
        <v>1037</v>
      </c>
      <c r="F441" s="51"/>
      <c r="G441" s="51"/>
      <c r="H441" s="51"/>
      <c r="I441" s="51"/>
      <c r="J441" s="51"/>
      <c r="K441" s="51"/>
      <c r="L441" s="50" t="s">
        <v>954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35">
        <f t="shared" si="18"/>
        <v>365</v>
      </c>
      <c r="B442" s="51" t="s">
        <v>1035</v>
      </c>
      <c r="C442" s="51" t="s">
        <v>1041</v>
      </c>
      <c r="D442" s="51"/>
      <c r="E442" s="51" t="s">
        <v>1037</v>
      </c>
      <c r="F442" s="51"/>
      <c r="G442" s="51"/>
      <c r="H442" s="51"/>
      <c r="I442" s="51"/>
      <c r="J442" s="51"/>
      <c r="K442" s="51"/>
      <c r="L442" s="50" t="s">
        <v>954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35">
        <f t="shared" si="18"/>
        <v>366</v>
      </c>
      <c r="B443" s="51" t="s">
        <v>1035</v>
      </c>
      <c r="C443" s="51" t="s">
        <v>1040</v>
      </c>
      <c r="D443" s="51"/>
      <c r="E443" s="51" t="s">
        <v>1037</v>
      </c>
      <c r="F443" s="51"/>
      <c r="G443" s="51"/>
      <c r="H443" s="51"/>
      <c r="I443" s="51"/>
      <c r="J443" s="51"/>
      <c r="K443" s="51"/>
      <c r="L443" s="50" t="s">
        <v>954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35">
        <f t="shared" si="18"/>
        <v>367</v>
      </c>
      <c r="B444" s="51" t="s">
        <v>1042</v>
      </c>
      <c r="C444" s="51" t="s">
        <v>1043</v>
      </c>
      <c r="D444" s="51"/>
      <c r="E444" s="51" t="s">
        <v>1044</v>
      </c>
      <c r="F444" s="51"/>
      <c r="G444" s="51"/>
      <c r="H444" s="51"/>
      <c r="I444" s="51"/>
      <c r="J444" s="51"/>
      <c r="K444" s="51"/>
      <c r="L444" s="50" t="s">
        <v>954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35">
        <f t="shared" si="18"/>
        <v>368</v>
      </c>
      <c r="B445" s="51" t="s">
        <v>1042</v>
      </c>
      <c r="C445" s="51" t="s">
        <v>1045</v>
      </c>
      <c r="D445" s="51"/>
      <c r="E445" s="51" t="s">
        <v>1044</v>
      </c>
      <c r="F445" s="51"/>
      <c r="G445" s="51"/>
      <c r="H445" s="51"/>
      <c r="I445" s="51"/>
      <c r="J445" s="51"/>
      <c r="K445" s="51"/>
      <c r="L445" s="50" t="s">
        <v>954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35">
        <f t="shared" si="18"/>
        <v>369</v>
      </c>
      <c r="B446" s="51" t="s">
        <v>1042</v>
      </c>
      <c r="C446" s="51" t="s">
        <v>1046</v>
      </c>
      <c r="D446" s="51"/>
      <c r="E446" s="51" t="s">
        <v>1044</v>
      </c>
      <c r="F446" s="51"/>
      <c r="G446" s="51"/>
      <c r="H446" s="51"/>
      <c r="I446" s="51"/>
      <c r="J446" s="51"/>
      <c r="K446" s="51"/>
      <c r="L446" s="50" t="s">
        <v>954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35">
        <f t="shared" si="18"/>
        <v>370</v>
      </c>
      <c r="B447" s="51" t="s">
        <v>1042</v>
      </c>
      <c r="C447" s="51" t="s">
        <v>1047</v>
      </c>
      <c r="D447" s="51"/>
      <c r="E447" s="51" t="s">
        <v>1044</v>
      </c>
      <c r="F447" s="51"/>
      <c r="G447" s="51"/>
      <c r="H447" s="51"/>
      <c r="I447" s="51"/>
      <c r="J447" s="51"/>
      <c r="K447" s="51"/>
      <c r="L447" s="50" t="s">
        <v>954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35">
        <f t="shared" si="18"/>
        <v>371</v>
      </c>
      <c r="B448" s="51" t="s">
        <v>1042</v>
      </c>
      <c r="C448" s="51" t="s">
        <v>1048</v>
      </c>
      <c r="D448" s="51"/>
      <c r="E448" s="51" t="s">
        <v>1044</v>
      </c>
      <c r="F448" s="51"/>
      <c r="G448" s="51"/>
      <c r="H448" s="51"/>
      <c r="I448" s="51"/>
      <c r="J448" s="51"/>
      <c r="K448" s="51"/>
      <c r="L448" s="50" t="s">
        <v>954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35">
        <f t="shared" si="18"/>
        <v>372</v>
      </c>
      <c r="B449" s="51" t="s">
        <v>1049</v>
      </c>
      <c r="C449" s="51" t="s">
        <v>1050</v>
      </c>
      <c r="D449" s="51"/>
      <c r="E449" s="51" t="s">
        <v>1051</v>
      </c>
      <c r="F449" s="51"/>
      <c r="G449" s="51"/>
      <c r="H449" s="51"/>
      <c r="I449" s="51"/>
      <c r="J449" s="51"/>
      <c r="K449" s="51"/>
      <c r="L449" s="50" t="s">
        <v>954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35">
        <f t="shared" si="18"/>
        <v>373</v>
      </c>
      <c r="B450" s="51" t="s">
        <v>1052</v>
      </c>
      <c r="C450" s="51" t="s">
        <v>1053</v>
      </c>
      <c r="D450" s="51"/>
      <c r="E450" s="51" t="s">
        <v>1054</v>
      </c>
      <c r="F450" s="51"/>
      <c r="G450" s="51"/>
      <c r="H450" s="51"/>
      <c r="I450" s="51"/>
      <c r="J450" s="51"/>
      <c r="K450" s="51"/>
      <c r="L450" s="50" t="s">
        <v>954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35">
        <f t="shared" si="18"/>
        <v>374</v>
      </c>
      <c r="B451" s="51" t="s">
        <v>1055</v>
      </c>
      <c r="C451" s="51" t="s">
        <v>1056</v>
      </c>
      <c r="D451" s="51"/>
      <c r="E451" s="51"/>
      <c r="F451" s="51"/>
      <c r="G451" s="51"/>
      <c r="H451" s="51"/>
      <c r="I451" s="51"/>
      <c r="J451" s="51"/>
      <c r="K451" s="51"/>
      <c r="L451" s="50" t="s">
        <v>954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35">
        <f t="shared" si="18"/>
        <v>375</v>
      </c>
      <c r="B452" s="51" t="s">
        <v>1057</v>
      </c>
      <c r="C452" s="51" t="s">
        <v>1058</v>
      </c>
      <c r="D452" s="51"/>
      <c r="E452" s="51" t="s">
        <v>1059</v>
      </c>
      <c r="F452" s="51"/>
      <c r="G452" s="51"/>
      <c r="H452" s="51"/>
      <c r="I452" s="51"/>
      <c r="J452" s="51"/>
      <c r="K452" s="51"/>
      <c r="L452" s="50" t="s">
        <v>954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35">
        <f t="shared" si="18"/>
        <v>376</v>
      </c>
      <c r="B453" s="51" t="s">
        <v>1060</v>
      </c>
      <c r="C453" s="51" t="s">
        <v>1061</v>
      </c>
      <c r="D453" s="51"/>
      <c r="E453" s="51" t="s">
        <v>1062</v>
      </c>
      <c r="F453" s="51"/>
      <c r="G453" s="51"/>
      <c r="H453" s="51"/>
      <c r="I453" s="51"/>
      <c r="J453" s="51"/>
      <c r="K453" s="51"/>
      <c r="L453" s="50" t="s">
        <v>954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35">
        <f t="shared" si="18"/>
        <v>377</v>
      </c>
      <c r="B454" s="51" t="s">
        <v>1063</v>
      </c>
      <c r="C454" s="51" t="s">
        <v>1064</v>
      </c>
      <c r="D454" s="51"/>
      <c r="E454" s="51"/>
      <c r="F454" s="51"/>
      <c r="G454" s="51"/>
      <c r="H454" s="51"/>
      <c r="I454" s="51"/>
      <c r="J454" s="51"/>
      <c r="K454" s="51"/>
      <c r="L454" s="50" t="s">
        <v>954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35">
        <f t="shared" si="18"/>
        <v>378</v>
      </c>
      <c r="B455" s="51" t="s">
        <v>1065</v>
      </c>
      <c r="C455" s="51" t="s">
        <v>1066</v>
      </c>
      <c r="D455" s="51"/>
      <c r="E455" s="51" t="s">
        <v>1067</v>
      </c>
      <c r="F455" s="51"/>
      <c r="G455" s="51"/>
      <c r="H455" s="51"/>
      <c r="I455" s="51"/>
      <c r="J455" s="51"/>
      <c r="K455" s="51"/>
      <c r="L455" s="50" t="s">
        <v>954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35">
        <f t="shared" si="18"/>
        <v>379</v>
      </c>
      <c r="B456" s="51" t="s">
        <v>1068</v>
      </c>
      <c r="C456" s="51" t="s">
        <v>1069</v>
      </c>
      <c r="D456" s="51"/>
      <c r="E456" s="51"/>
      <c r="F456" s="51"/>
      <c r="G456" s="51"/>
      <c r="H456" s="51"/>
      <c r="I456" s="51"/>
      <c r="J456" s="51"/>
      <c r="K456" s="51"/>
      <c r="L456" s="50" t="s">
        <v>954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35">
        <f t="shared" si="18"/>
        <v>380</v>
      </c>
      <c r="B457" s="51" t="s">
        <v>1068</v>
      </c>
      <c r="C457" s="51" t="s">
        <v>1070</v>
      </c>
      <c r="D457" s="51"/>
      <c r="E457" s="51"/>
      <c r="F457" s="51"/>
      <c r="G457" s="51"/>
      <c r="H457" s="51"/>
      <c r="I457" s="51"/>
      <c r="J457" s="51"/>
      <c r="K457" s="51"/>
      <c r="L457" s="50" t="s">
        <v>954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35">
        <f t="shared" si="18"/>
        <v>381</v>
      </c>
      <c r="B458" s="51" t="s">
        <v>1071</v>
      </c>
      <c r="C458" s="51" t="s">
        <v>1072</v>
      </c>
      <c r="D458" s="51"/>
      <c r="E458" s="51" t="s">
        <v>1073</v>
      </c>
      <c r="F458" s="51"/>
      <c r="G458" s="51"/>
      <c r="H458" s="51"/>
      <c r="I458" s="51"/>
      <c r="J458" s="51"/>
      <c r="K458" s="51"/>
      <c r="L458" s="50" t="s">
        <v>954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35">
        <f t="shared" si="18"/>
        <v>382</v>
      </c>
      <c r="B459" s="51" t="s">
        <v>1071</v>
      </c>
      <c r="C459" s="51" t="s">
        <v>1074</v>
      </c>
      <c r="D459" s="51"/>
      <c r="E459" s="51" t="s">
        <v>1075</v>
      </c>
      <c r="F459" s="51"/>
      <c r="G459" s="51"/>
      <c r="H459" s="51"/>
      <c r="I459" s="51"/>
      <c r="J459" s="51"/>
      <c r="K459" s="51"/>
      <c r="L459" s="50" t="s">
        <v>954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35">
        <f t="shared" si="18"/>
        <v>383</v>
      </c>
      <c r="B460" s="51" t="s">
        <v>1076</v>
      </c>
      <c r="C460" s="51" t="s">
        <v>1077</v>
      </c>
      <c r="D460" s="51"/>
      <c r="E460" s="51" t="s">
        <v>1078</v>
      </c>
      <c r="F460" s="51"/>
      <c r="G460" s="51"/>
      <c r="H460" s="51"/>
      <c r="I460" s="51"/>
      <c r="J460" s="51"/>
      <c r="K460" s="51"/>
      <c r="L460" s="50" t="s">
        <v>954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35">
        <f t="shared" si="18"/>
        <v>384</v>
      </c>
      <c r="B461" s="51" t="s">
        <v>1076</v>
      </c>
      <c r="C461" s="51" t="s">
        <v>1079</v>
      </c>
      <c r="D461" s="51"/>
      <c r="E461" s="51" t="s">
        <v>1080</v>
      </c>
      <c r="F461" s="51"/>
      <c r="G461" s="51"/>
      <c r="H461" s="51"/>
      <c r="I461" s="51"/>
      <c r="J461" s="51"/>
      <c r="K461" s="51"/>
      <c r="L461" s="50" t="s">
        <v>954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35">
        <f t="shared" si="18"/>
        <v>385</v>
      </c>
      <c r="B462" s="51" t="s">
        <v>1081</v>
      </c>
      <c r="C462" s="51" t="s">
        <v>1082</v>
      </c>
      <c r="D462" s="51"/>
      <c r="E462" s="51" t="s">
        <v>1083</v>
      </c>
      <c r="F462" s="51"/>
      <c r="G462" s="51"/>
      <c r="H462" s="51"/>
      <c r="I462" s="51"/>
      <c r="J462" s="51"/>
      <c r="K462" s="51"/>
      <c r="L462" s="50" t="s">
        <v>954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35">
        <f t="shared" si="18"/>
        <v>386</v>
      </c>
      <c r="B463" s="51" t="s">
        <v>1081</v>
      </c>
      <c r="C463" s="51" t="s">
        <v>1084</v>
      </c>
      <c r="D463" s="51"/>
      <c r="E463" s="51" t="s">
        <v>1085</v>
      </c>
      <c r="F463" s="51"/>
      <c r="G463" s="51"/>
      <c r="H463" s="51"/>
      <c r="I463" s="51"/>
      <c r="J463" s="51"/>
      <c r="K463" s="51"/>
      <c r="L463" s="50" t="s">
        <v>954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35">
        <f t="shared" si="18"/>
        <v>387</v>
      </c>
      <c r="B464" s="51" t="s">
        <v>1081</v>
      </c>
      <c r="C464" s="51" t="s">
        <v>1086</v>
      </c>
      <c r="D464" s="51"/>
      <c r="E464" s="51" t="s">
        <v>1087</v>
      </c>
      <c r="F464" s="51"/>
      <c r="G464" s="51"/>
      <c r="H464" s="51"/>
      <c r="I464" s="51"/>
      <c r="J464" s="51"/>
      <c r="K464" s="51"/>
      <c r="L464" s="50" t="s">
        <v>954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35">
        <f t="shared" si="18"/>
        <v>388</v>
      </c>
      <c r="B465" s="51" t="s">
        <v>1081</v>
      </c>
      <c r="C465" s="51" t="s">
        <v>1088</v>
      </c>
      <c r="D465" s="51"/>
      <c r="E465" s="51" t="s">
        <v>1089</v>
      </c>
      <c r="F465" s="51"/>
      <c r="G465" s="51"/>
      <c r="H465" s="51"/>
      <c r="I465" s="51"/>
      <c r="J465" s="51"/>
      <c r="K465" s="51"/>
      <c r="L465" s="50" t="s">
        <v>954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35">
        <f t="shared" si="18"/>
        <v>389</v>
      </c>
      <c r="B466" s="51" t="s">
        <v>1081</v>
      </c>
      <c r="C466" s="51" t="s">
        <v>1090</v>
      </c>
      <c r="D466" s="51"/>
      <c r="E466" s="51" t="s">
        <v>1091</v>
      </c>
      <c r="F466" s="51"/>
      <c r="G466" s="51"/>
      <c r="H466" s="51"/>
      <c r="I466" s="51"/>
      <c r="J466" s="51"/>
      <c r="K466" s="51"/>
      <c r="L466" s="50" t="s">
        <v>954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39">
        <v>410.0</v>
      </c>
      <c r="B467" s="63" t="s">
        <v>1028</v>
      </c>
      <c r="C467" s="63" t="s">
        <v>1092</v>
      </c>
      <c r="D467" s="51"/>
      <c r="E467" s="63" t="s">
        <v>1093</v>
      </c>
      <c r="F467" s="51"/>
      <c r="G467" s="51"/>
      <c r="H467" s="51"/>
      <c r="I467" s="51"/>
      <c r="J467" s="51"/>
      <c r="K467" s="51"/>
      <c r="L467" s="50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39">
        <v>411.0</v>
      </c>
      <c r="B468" s="63" t="s">
        <v>1094</v>
      </c>
      <c r="C468" s="63" t="s">
        <v>1095</v>
      </c>
      <c r="D468" s="51"/>
      <c r="E468" s="52" t="s">
        <v>1096</v>
      </c>
      <c r="F468" s="51"/>
      <c r="G468" s="51"/>
      <c r="H468" s="51"/>
      <c r="I468" s="51"/>
      <c r="J468" s="51"/>
      <c r="K468" s="51"/>
      <c r="L468" s="50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39">
        <v>412.0</v>
      </c>
      <c r="B469" s="63" t="s">
        <v>1028</v>
      </c>
      <c r="C469" s="52" t="s">
        <v>1097</v>
      </c>
      <c r="D469" s="51"/>
      <c r="E469" s="52" t="s">
        <v>1093</v>
      </c>
      <c r="F469" s="51"/>
      <c r="G469" s="51"/>
      <c r="H469" s="51"/>
      <c r="I469" s="51"/>
      <c r="J469" s="51"/>
      <c r="K469" s="51"/>
      <c r="L469" s="50" t="s">
        <v>954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autoFilter ref="$A$3:$L$469"/>
  <mergeCells count="12">
    <mergeCell ref="A281:L281"/>
    <mergeCell ref="A319:L319"/>
    <mergeCell ref="A336:L336"/>
    <mergeCell ref="A341:L341"/>
    <mergeCell ref="A384:L384"/>
    <mergeCell ref="A1:L1"/>
    <mergeCell ref="A2:D2"/>
    <mergeCell ref="A3:L3"/>
    <mergeCell ref="A24:L24"/>
    <mergeCell ref="A84:L84"/>
    <mergeCell ref="A199:L199"/>
    <mergeCell ref="A243:L243"/>
  </mergeCells>
  <hyperlinks>
    <hyperlink r:id="rId1" ref="E227"/>
    <hyperlink r:id="rId2" ref="B436"/>
    <hyperlink r:id="rId3" ref="B437"/>
  </hyperlinks>
  <printOptions/>
  <pageMargins bottom="0.75" footer="0.0" header="0.0" left="0.25" right="0.25" top="0.75"/>
  <pageSetup fitToHeight="0"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5.63"/>
    <col customWidth="1" min="3" max="3" width="48.13"/>
    <col customWidth="1" hidden="1" min="4" max="4" width="31.5"/>
    <col customWidth="1" hidden="1" min="5" max="5" width="31.38"/>
    <col customWidth="1" min="6" max="26" width="18.88"/>
  </cols>
  <sheetData>
    <row r="1" ht="30.0" customHeight="1">
      <c r="A1" s="94" t="s">
        <v>1098</v>
      </c>
      <c r="B1" s="95"/>
      <c r="C1" s="95"/>
      <c r="D1" s="95"/>
      <c r="E1" s="96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ht="14.25" customHeight="1">
      <c r="A2" s="97"/>
      <c r="B2" s="98" t="s">
        <v>1099</v>
      </c>
      <c r="C2" s="98" t="s">
        <v>1100</v>
      </c>
      <c r="D2" s="99"/>
      <c r="E2" s="98" t="s">
        <v>1101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ht="14.25" customHeight="1">
      <c r="A3" s="97" t="s">
        <v>1102</v>
      </c>
      <c r="B3" s="99" t="s">
        <v>1103</v>
      </c>
      <c r="C3" s="97" t="str">
        <f t="shared" ref="C3:C506" si="1">CONCAT(D3:E3)</f>
        <v>#N/A</v>
      </c>
      <c r="D3" s="99" t="s">
        <v>1104</v>
      </c>
      <c r="E3" s="99" t="s">
        <v>1105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ht="14.25" customHeight="1">
      <c r="A4" s="97">
        <v>1.0</v>
      </c>
      <c r="B4" s="99">
        <v>4.0220767087E10</v>
      </c>
      <c r="C4" s="97" t="str">
        <f t="shared" si="1"/>
        <v>#N/A</v>
      </c>
      <c r="D4" s="99" t="s">
        <v>1106</v>
      </c>
      <c r="E4" s="99" t="s">
        <v>1107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ht="14.25" customHeight="1">
      <c r="A5" s="97">
        <f t="shared" ref="A5:A506" si="2">A4+1</f>
        <v>2</v>
      </c>
      <c r="B5" s="99" t="s">
        <v>1108</v>
      </c>
      <c r="C5" s="97" t="str">
        <f t="shared" si="1"/>
        <v>#N/A</v>
      </c>
      <c r="D5" s="99" t="s">
        <v>1109</v>
      </c>
      <c r="E5" s="99" t="s">
        <v>1110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ht="14.25" customHeight="1">
      <c r="A6" s="97">
        <f t="shared" si="2"/>
        <v>3</v>
      </c>
      <c r="B6" s="99">
        <v>4.0222144046E10</v>
      </c>
      <c r="C6" s="97" t="str">
        <f t="shared" si="1"/>
        <v>#N/A</v>
      </c>
      <c r="D6" s="99" t="s">
        <v>1111</v>
      </c>
      <c r="E6" s="99" t="s">
        <v>1112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14.25" customHeight="1">
      <c r="A7" s="97">
        <f t="shared" si="2"/>
        <v>4</v>
      </c>
      <c r="B7" s="99">
        <v>2.2301583229E10</v>
      </c>
      <c r="C7" s="97" t="str">
        <f t="shared" si="1"/>
        <v>#N/A</v>
      </c>
      <c r="D7" s="99" t="s">
        <v>1113</v>
      </c>
      <c r="E7" s="99" t="s">
        <v>1114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ht="14.25" customHeight="1">
      <c r="A8" s="97">
        <f t="shared" si="2"/>
        <v>5</v>
      </c>
      <c r="B8" s="99" t="s">
        <v>1115</v>
      </c>
      <c r="C8" s="97" t="str">
        <f t="shared" si="1"/>
        <v>#N/A</v>
      </c>
      <c r="D8" s="99" t="s">
        <v>1116</v>
      </c>
      <c r="E8" s="99" t="s">
        <v>1117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ht="14.25" customHeight="1">
      <c r="A9" s="97">
        <f t="shared" si="2"/>
        <v>6</v>
      </c>
      <c r="B9" s="99">
        <v>2.2300441932E10</v>
      </c>
      <c r="C9" s="97" t="str">
        <f t="shared" si="1"/>
        <v>#N/A</v>
      </c>
      <c r="D9" s="99" t="s">
        <v>1118</v>
      </c>
      <c r="E9" s="99" t="s">
        <v>1119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ht="14.25" customHeight="1">
      <c r="A10" s="97">
        <f t="shared" si="2"/>
        <v>7</v>
      </c>
      <c r="B10" s="99" t="s">
        <v>1120</v>
      </c>
      <c r="C10" s="97" t="str">
        <f t="shared" si="1"/>
        <v>#N/A</v>
      </c>
      <c r="D10" s="99" t="s">
        <v>1121</v>
      </c>
      <c r="E10" s="99" t="s">
        <v>1122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ht="14.25" customHeight="1">
      <c r="A11" s="97">
        <f t="shared" si="2"/>
        <v>8</v>
      </c>
      <c r="B11" s="99" t="s">
        <v>1123</v>
      </c>
      <c r="C11" s="97" t="str">
        <f t="shared" si="1"/>
        <v>#N/A</v>
      </c>
      <c r="D11" s="99" t="s">
        <v>1124</v>
      </c>
      <c r="E11" s="99" t="s">
        <v>1125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ht="14.25" customHeight="1">
      <c r="A12" s="97">
        <f t="shared" si="2"/>
        <v>9</v>
      </c>
      <c r="B12" s="99">
        <v>2.2301748897E10</v>
      </c>
      <c r="C12" s="97" t="str">
        <f t="shared" si="1"/>
        <v>#N/A</v>
      </c>
      <c r="D12" s="99" t="s">
        <v>1126</v>
      </c>
      <c r="E12" s="99" t="s">
        <v>1127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ht="14.25" customHeight="1">
      <c r="A13" s="97">
        <f t="shared" si="2"/>
        <v>10</v>
      </c>
      <c r="B13" s="99">
        <v>2.2301363515E10</v>
      </c>
      <c r="C13" s="97" t="str">
        <f t="shared" si="1"/>
        <v>#N/A</v>
      </c>
      <c r="D13" s="99" t="s">
        <v>1128</v>
      </c>
      <c r="E13" s="99" t="s">
        <v>1129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ht="14.25" customHeight="1">
      <c r="A14" s="97">
        <f t="shared" si="2"/>
        <v>11</v>
      </c>
      <c r="B14" s="99">
        <v>2.2301496109E10</v>
      </c>
      <c r="C14" s="97" t="str">
        <f t="shared" si="1"/>
        <v>#N/A</v>
      </c>
      <c r="D14" s="99" t="s">
        <v>1130</v>
      </c>
      <c r="E14" s="99" t="s">
        <v>1131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ht="14.25" customHeight="1">
      <c r="A15" s="97">
        <f t="shared" si="2"/>
        <v>12</v>
      </c>
      <c r="B15" s="99" t="s">
        <v>1132</v>
      </c>
      <c r="C15" s="97" t="str">
        <f t="shared" si="1"/>
        <v>#N/A</v>
      </c>
      <c r="D15" s="99" t="s">
        <v>1133</v>
      </c>
      <c r="E15" s="99" t="s">
        <v>1134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ht="14.25" customHeight="1">
      <c r="A16" s="97">
        <f t="shared" si="2"/>
        <v>13</v>
      </c>
      <c r="B16" s="99">
        <v>2.2301482141E10</v>
      </c>
      <c r="C16" s="97" t="str">
        <f t="shared" si="1"/>
        <v>#N/A</v>
      </c>
      <c r="D16" s="99" t="s">
        <v>1135</v>
      </c>
      <c r="E16" s="99" t="s">
        <v>1136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ht="14.25" customHeight="1">
      <c r="A17" s="97">
        <f t="shared" si="2"/>
        <v>14</v>
      </c>
      <c r="B17" s="99" t="s">
        <v>1137</v>
      </c>
      <c r="C17" s="97" t="str">
        <f t="shared" si="1"/>
        <v>#N/A</v>
      </c>
      <c r="D17" s="99" t="s">
        <v>1138</v>
      </c>
      <c r="E17" s="99" t="s">
        <v>1139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ht="14.25" customHeight="1">
      <c r="A18" s="97">
        <f t="shared" si="2"/>
        <v>15</v>
      </c>
      <c r="B18" s="99">
        <v>4.0225299268E10</v>
      </c>
      <c r="C18" s="97" t="str">
        <f t="shared" si="1"/>
        <v>#N/A</v>
      </c>
      <c r="D18" s="99" t="s">
        <v>1140</v>
      </c>
      <c r="E18" s="99" t="s">
        <v>1141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ht="14.25" customHeight="1">
      <c r="A19" s="97">
        <f t="shared" si="2"/>
        <v>16</v>
      </c>
      <c r="B19" s="99">
        <v>4.0200657134E10</v>
      </c>
      <c r="C19" s="97" t="str">
        <f t="shared" si="1"/>
        <v>#N/A</v>
      </c>
      <c r="D19" s="99" t="s">
        <v>1142</v>
      </c>
      <c r="E19" s="99" t="s">
        <v>1143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ht="14.25" customHeight="1">
      <c r="A20" s="97">
        <f t="shared" si="2"/>
        <v>17</v>
      </c>
      <c r="B20" s="99">
        <v>4.0239203165E10</v>
      </c>
      <c r="C20" s="97" t="str">
        <f t="shared" si="1"/>
        <v>#N/A</v>
      </c>
      <c r="D20" s="99" t="s">
        <v>1144</v>
      </c>
      <c r="E20" s="99" t="s">
        <v>1145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ht="14.25" customHeight="1">
      <c r="A21" s="97">
        <f t="shared" si="2"/>
        <v>18</v>
      </c>
      <c r="B21" s="99" t="s">
        <v>1146</v>
      </c>
      <c r="C21" s="97" t="str">
        <f t="shared" si="1"/>
        <v>#N/A</v>
      </c>
      <c r="D21" s="99" t="s">
        <v>1147</v>
      </c>
      <c r="E21" s="99" t="s">
        <v>1148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ht="14.25" customHeight="1">
      <c r="A22" s="97">
        <f t="shared" si="2"/>
        <v>19</v>
      </c>
      <c r="B22" s="99">
        <v>2.2301695536E10</v>
      </c>
      <c r="C22" s="97" t="str">
        <f t="shared" si="1"/>
        <v>#N/A</v>
      </c>
      <c r="D22" s="99" t="s">
        <v>1149</v>
      </c>
      <c r="E22" s="99" t="s">
        <v>1150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ht="14.25" customHeight="1">
      <c r="A23" s="97">
        <f t="shared" si="2"/>
        <v>20</v>
      </c>
      <c r="B23" s="99">
        <v>2.2300720582E10</v>
      </c>
      <c r="C23" s="97" t="str">
        <f t="shared" si="1"/>
        <v>#N/A</v>
      </c>
      <c r="D23" s="99" t="s">
        <v>1151</v>
      </c>
      <c r="E23" s="99" t="s">
        <v>1152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ht="14.25" customHeight="1">
      <c r="A24" s="97">
        <f t="shared" si="2"/>
        <v>21</v>
      </c>
      <c r="B24" s="99" t="s">
        <v>1153</v>
      </c>
      <c r="C24" s="97" t="str">
        <f t="shared" si="1"/>
        <v>#N/A</v>
      </c>
      <c r="D24" s="99" t="s">
        <v>1154</v>
      </c>
      <c r="E24" s="99" t="s">
        <v>1155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ht="14.25" customHeight="1">
      <c r="A25" s="97">
        <f t="shared" si="2"/>
        <v>22</v>
      </c>
      <c r="B25" s="99" t="s">
        <v>1156</v>
      </c>
      <c r="C25" s="97" t="str">
        <f t="shared" si="1"/>
        <v>#N/A</v>
      </c>
      <c r="D25" s="99" t="s">
        <v>1157</v>
      </c>
      <c r="E25" s="99" t="s">
        <v>1158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ht="14.25" customHeight="1">
      <c r="A26" s="97">
        <f t="shared" si="2"/>
        <v>23</v>
      </c>
      <c r="B26" s="99">
        <v>4.022020282E10</v>
      </c>
      <c r="C26" s="97" t="str">
        <f t="shared" si="1"/>
        <v>#N/A</v>
      </c>
      <c r="D26" s="99" t="s">
        <v>1159</v>
      </c>
      <c r="E26" s="99" t="s">
        <v>1160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ht="14.25" customHeight="1">
      <c r="A27" s="97">
        <f t="shared" si="2"/>
        <v>24</v>
      </c>
      <c r="B27" s="99">
        <v>4.0221515774E10</v>
      </c>
      <c r="C27" s="97" t="str">
        <f t="shared" si="1"/>
        <v>#N/A</v>
      </c>
      <c r="D27" s="99" t="s">
        <v>1161</v>
      </c>
      <c r="E27" s="99" t="s">
        <v>1162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ht="14.25" customHeight="1">
      <c r="A28" s="97">
        <f t="shared" si="2"/>
        <v>25</v>
      </c>
      <c r="B28" s="99">
        <v>4.0230595189E10</v>
      </c>
      <c r="C28" s="97" t="str">
        <f t="shared" si="1"/>
        <v>#N/A</v>
      </c>
      <c r="D28" s="99" t="s">
        <v>1163</v>
      </c>
      <c r="E28" s="99" t="s">
        <v>1164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ht="14.25" customHeight="1">
      <c r="A29" s="97">
        <f t="shared" si="2"/>
        <v>26</v>
      </c>
      <c r="B29" s="99" t="s">
        <v>1165</v>
      </c>
      <c r="C29" s="97" t="str">
        <f t="shared" si="1"/>
        <v>#N/A</v>
      </c>
      <c r="D29" s="99" t="s">
        <v>1166</v>
      </c>
      <c r="E29" s="99" t="s">
        <v>1167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ht="14.25" customHeight="1">
      <c r="A30" s="97">
        <f t="shared" si="2"/>
        <v>27</v>
      </c>
      <c r="B30" s="99">
        <v>4.0220125567E10</v>
      </c>
      <c r="C30" s="97" t="str">
        <f t="shared" si="1"/>
        <v>#N/A</v>
      </c>
      <c r="D30" s="99" t="s">
        <v>1168</v>
      </c>
      <c r="E30" s="99" t="s">
        <v>1169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ht="14.25" customHeight="1">
      <c r="A31" s="97">
        <f t="shared" si="2"/>
        <v>28</v>
      </c>
      <c r="B31" s="99" t="s">
        <v>1170</v>
      </c>
      <c r="C31" s="97" t="str">
        <f t="shared" si="1"/>
        <v>#N/A</v>
      </c>
      <c r="D31" s="99" t="s">
        <v>1171</v>
      </c>
      <c r="E31" s="99" t="s">
        <v>1172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ht="14.25" customHeight="1">
      <c r="A32" s="97">
        <f t="shared" si="2"/>
        <v>29</v>
      </c>
      <c r="B32" s="99">
        <v>1.5500058365E10</v>
      </c>
      <c r="C32" s="97" t="str">
        <f t="shared" si="1"/>
        <v>#N/A</v>
      </c>
      <c r="D32" s="99" t="s">
        <v>1173</v>
      </c>
      <c r="E32" s="99" t="s">
        <v>1174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ht="14.25" customHeight="1">
      <c r="A33" s="97">
        <f t="shared" si="2"/>
        <v>30</v>
      </c>
      <c r="B33" s="99">
        <v>2.230157058E10</v>
      </c>
      <c r="C33" s="97" t="str">
        <f t="shared" si="1"/>
        <v>#N/A</v>
      </c>
      <c r="D33" s="99" t="s">
        <v>1175</v>
      </c>
      <c r="E33" s="99" t="s">
        <v>1176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ht="14.25" customHeight="1">
      <c r="A34" s="97">
        <f t="shared" si="2"/>
        <v>31</v>
      </c>
      <c r="B34" s="99" t="s">
        <v>1177</v>
      </c>
      <c r="C34" s="97" t="str">
        <f t="shared" si="1"/>
        <v>#N/A</v>
      </c>
      <c r="D34" s="99" t="s">
        <v>1178</v>
      </c>
      <c r="E34" s="99" t="s">
        <v>1179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ht="14.25" customHeight="1">
      <c r="A35" s="97">
        <f t="shared" si="2"/>
        <v>32</v>
      </c>
      <c r="B35" s="99">
        <v>4.0224379186E10</v>
      </c>
      <c r="C35" s="97" t="str">
        <f t="shared" si="1"/>
        <v>#N/A</v>
      </c>
      <c r="D35" s="99" t="s">
        <v>1180</v>
      </c>
      <c r="E35" s="99" t="s">
        <v>1181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ht="14.25" customHeight="1">
      <c r="A36" s="97">
        <f t="shared" si="2"/>
        <v>33</v>
      </c>
      <c r="B36" s="99" t="s">
        <v>1182</v>
      </c>
      <c r="C36" s="97" t="str">
        <f t="shared" si="1"/>
        <v>#N/A</v>
      </c>
      <c r="D36" s="99" t="s">
        <v>1183</v>
      </c>
      <c r="E36" s="99" t="s">
        <v>1184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ht="14.25" customHeight="1">
      <c r="A37" s="97">
        <f t="shared" si="2"/>
        <v>34</v>
      </c>
      <c r="B37" s="99" t="s">
        <v>1185</v>
      </c>
      <c r="C37" s="97" t="str">
        <f t="shared" si="1"/>
        <v>#N/A</v>
      </c>
      <c r="D37" s="99" t="s">
        <v>1186</v>
      </c>
      <c r="E37" s="99" t="s">
        <v>1187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ht="14.25" customHeight="1">
      <c r="A38" s="97">
        <f t="shared" si="2"/>
        <v>35</v>
      </c>
      <c r="B38" s="99">
        <v>2.2400172221E10</v>
      </c>
      <c r="C38" s="97" t="str">
        <f t="shared" si="1"/>
        <v>#N/A</v>
      </c>
      <c r="D38" s="99" t="s">
        <v>1188</v>
      </c>
      <c r="E38" s="99" t="s">
        <v>1189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ht="14.25" customHeight="1">
      <c r="A39" s="97">
        <f t="shared" si="2"/>
        <v>36</v>
      </c>
      <c r="B39" s="99" t="s">
        <v>1190</v>
      </c>
      <c r="C39" s="97" t="str">
        <f t="shared" si="1"/>
        <v>#N/A</v>
      </c>
      <c r="D39" s="99" t="s">
        <v>1191</v>
      </c>
      <c r="E39" s="99" t="s">
        <v>1192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ht="14.25" customHeight="1">
      <c r="A40" s="97">
        <f t="shared" si="2"/>
        <v>37</v>
      </c>
      <c r="B40" s="99">
        <v>4.0222987592E10</v>
      </c>
      <c r="C40" s="97" t="str">
        <f t="shared" si="1"/>
        <v>#N/A</v>
      </c>
      <c r="D40" s="99" t="s">
        <v>1193</v>
      </c>
      <c r="E40" s="99" t="s">
        <v>1194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ht="14.25" customHeight="1">
      <c r="A41" s="97">
        <f t="shared" si="2"/>
        <v>38</v>
      </c>
      <c r="B41" s="99">
        <v>4.0222591238E10</v>
      </c>
      <c r="C41" s="97" t="str">
        <f t="shared" si="1"/>
        <v>#N/A</v>
      </c>
      <c r="D41" s="99" t="s">
        <v>1195</v>
      </c>
      <c r="E41" s="99" t="s">
        <v>1196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ht="14.25" customHeight="1">
      <c r="A42" s="97">
        <f t="shared" si="2"/>
        <v>39</v>
      </c>
      <c r="B42" s="99" t="s">
        <v>1197</v>
      </c>
      <c r="C42" s="97" t="str">
        <f t="shared" si="1"/>
        <v>#N/A</v>
      </c>
      <c r="D42" s="99" t="s">
        <v>1198</v>
      </c>
      <c r="E42" s="99" t="s">
        <v>1199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ht="14.25" customHeight="1">
      <c r="A43" s="97">
        <f t="shared" si="2"/>
        <v>40</v>
      </c>
      <c r="B43" s="99" t="s">
        <v>1200</v>
      </c>
      <c r="C43" s="97" t="str">
        <f t="shared" si="1"/>
        <v>#N/A</v>
      </c>
      <c r="D43" s="99" t="s">
        <v>1201</v>
      </c>
      <c r="E43" s="99" t="s">
        <v>1202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ht="14.25" customHeight="1">
      <c r="A44" s="97">
        <f t="shared" si="2"/>
        <v>41</v>
      </c>
      <c r="B44" s="99">
        <v>4.0212696195E10</v>
      </c>
      <c r="C44" s="97" t="str">
        <f t="shared" si="1"/>
        <v>#N/A</v>
      </c>
      <c r="D44" s="99" t="s">
        <v>1203</v>
      </c>
      <c r="E44" s="99" t="s">
        <v>1204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ht="14.25" customHeight="1">
      <c r="A45" s="97">
        <f t="shared" si="2"/>
        <v>42</v>
      </c>
      <c r="B45" s="99" t="s">
        <v>1205</v>
      </c>
      <c r="C45" s="97" t="str">
        <f t="shared" si="1"/>
        <v>#N/A</v>
      </c>
      <c r="D45" s="99" t="s">
        <v>1206</v>
      </c>
      <c r="E45" s="99" t="s">
        <v>1207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ht="14.25" customHeight="1">
      <c r="A46" s="97">
        <f t="shared" si="2"/>
        <v>43</v>
      </c>
      <c r="B46" s="99" t="s">
        <v>1208</v>
      </c>
      <c r="C46" s="97" t="str">
        <f t="shared" si="1"/>
        <v>#N/A</v>
      </c>
      <c r="D46" s="99" t="s">
        <v>1209</v>
      </c>
      <c r="E46" s="99" t="s">
        <v>1210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ht="14.25" customHeight="1">
      <c r="A47" s="97">
        <f t="shared" si="2"/>
        <v>44</v>
      </c>
      <c r="B47" s="99" t="s">
        <v>1211</v>
      </c>
      <c r="C47" s="97" t="str">
        <f t="shared" si="1"/>
        <v>#N/A</v>
      </c>
      <c r="D47" s="99" t="s">
        <v>1212</v>
      </c>
      <c r="E47" s="99" t="s">
        <v>1213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ht="14.25" customHeight="1">
      <c r="A48" s="97">
        <f t="shared" si="2"/>
        <v>45</v>
      </c>
      <c r="B48" s="99">
        <v>4.0209005913E10</v>
      </c>
      <c r="C48" s="97" t="str">
        <f t="shared" si="1"/>
        <v>#N/A</v>
      </c>
      <c r="D48" s="99" t="s">
        <v>1214</v>
      </c>
      <c r="E48" s="99" t="s">
        <v>1215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ht="14.25" customHeight="1">
      <c r="A49" s="97">
        <f t="shared" si="2"/>
        <v>46</v>
      </c>
      <c r="B49" s="99" t="s">
        <v>1216</v>
      </c>
      <c r="C49" s="97" t="str">
        <f t="shared" si="1"/>
        <v>#N/A</v>
      </c>
      <c r="D49" s="99" t="s">
        <v>1217</v>
      </c>
      <c r="E49" s="99" t="s">
        <v>1218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ht="14.25" customHeight="1">
      <c r="A50" s="97">
        <f t="shared" si="2"/>
        <v>47</v>
      </c>
      <c r="B50" s="99" t="s">
        <v>1219</v>
      </c>
      <c r="C50" s="97" t="str">
        <f t="shared" si="1"/>
        <v>#N/A</v>
      </c>
      <c r="D50" s="99" t="s">
        <v>1220</v>
      </c>
      <c r="E50" s="99" t="s">
        <v>1221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ht="14.25" customHeight="1">
      <c r="A51" s="97">
        <f t="shared" si="2"/>
        <v>48</v>
      </c>
      <c r="B51" s="99">
        <v>2.2300588047E10</v>
      </c>
      <c r="C51" s="97" t="str">
        <f t="shared" si="1"/>
        <v>#N/A</v>
      </c>
      <c r="D51" s="99" t="s">
        <v>1222</v>
      </c>
      <c r="E51" s="99" t="s">
        <v>1223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ht="14.25" customHeight="1">
      <c r="A52" s="97">
        <f t="shared" si="2"/>
        <v>49</v>
      </c>
      <c r="B52" s="99" t="s">
        <v>1224</v>
      </c>
      <c r="C52" s="97" t="str">
        <f t="shared" si="1"/>
        <v>#N/A</v>
      </c>
      <c r="D52" s="99" t="s">
        <v>1225</v>
      </c>
      <c r="E52" s="99" t="s">
        <v>1226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ht="14.25" customHeight="1">
      <c r="A53" s="97">
        <f t="shared" si="2"/>
        <v>50</v>
      </c>
      <c r="B53" s="99" t="s">
        <v>1227</v>
      </c>
      <c r="C53" s="97" t="str">
        <f t="shared" si="1"/>
        <v>#N/A</v>
      </c>
      <c r="D53" s="99" t="s">
        <v>1228</v>
      </c>
      <c r="E53" s="99" t="s">
        <v>1229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ht="14.25" customHeight="1">
      <c r="A54" s="97">
        <f t="shared" si="2"/>
        <v>51</v>
      </c>
      <c r="B54" s="99" t="s">
        <v>1230</v>
      </c>
      <c r="C54" s="97" t="str">
        <f t="shared" si="1"/>
        <v>#N/A</v>
      </c>
      <c r="D54" s="99" t="s">
        <v>1231</v>
      </c>
      <c r="E54" s="99" t="s">
        <v>1232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ht="14.25" customHeight="1">
      <c r="A55" s="97">
        <f t="shared" si="2"/>
        <v>52</v>
      </c>
      <c r="B55" s="99">
        <v>2.2301541573E10</v>
      </c>
      <c r="C55" s="97" t="str">
        <f t="shared" si="1"/>
        <v>#N/A</v>
      </c>
      <c r="D55" s="99" t="s">
        <v>1233</v>
      </c>
      <c r="E55" s="99" t="s">
        <v>1234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ht="14.25" customHeight="1">
      <c r="A56" s="97">
        <f t="shared" si="2"/>
        <v>53</v>
      </c>
      <c r="B56" s="99" t="s">
        <v>1235</v>
      </c>
      <c r="C56" s="97" t="str">
        <f t="shared" si="1"/>
        <v>#N/A</v>
      </c>
      <c r="D56" s="99" t="s">
        <v>1236</v>
      </c>
      <c r="E56" s="99" t="s">
        <v>1237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ht="14.25" customHeight="1">
      <c r="A57" s="97">
        <f t="shared" si="2"/>
        <v>54</v>
      </c>
      <c r="B57" s="99">
        <v>4.0238543512E10</v>
      </c>
      <c r="C57" s="97" t="str">
        <f t="shared" si="1"/>
        <v>#N/A</v>
      </c>
      <c r="D57" s="99" t="s">
        <v>1238</v>
      </c>
      <c r="E57" s="99" t="s">
        <v>1239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ht="14.25" customHeight="1">
      <c r="A58" s="97">
        <f t="shared" si="2"/>
        <v>55</v>
      </c>
      <c r="B58" s="99">
        <v>4.0220394395E10</v>
      </c>
      <c r="C58" s="97" t="str">
        <f t="shared" si="1"/>
        <v>#N/A</v>
      </c>
      <c r="D58" s="99" t="s">
        <v>1240</v>
      </c>
      <c r="E58" s="99" t="s">
        <v>1241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ht="14.25" customHeight="1">
      <c r="A59" s="97">
        <f t="shared" si="2"/>
        <v>56</v>
      </c>
      <c r="B59" s="99">
        <v>2.230128099E10</v>
      </c>
      <c r="C59" s="97" t="str">
        <f t="shared" si="1"/>
        <v>#N/A</v>
      </c>
      <c r="D59" s="99" t="s">
        <v>1242</v>
      </c>
      <c r="E59" s="99" t="s">
        <v>1243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ht="14.25" customHeight="1">
      <c r="A60" s="97">
        <f t="shared" si="2"/>
        <v>57</v>
      </c>
      <c r="B60" s="99">
        <v>2.2300396474E10</v>
      </c>
      <c r="C60" s="97" t="str">
        <f t="shared" si="1"/>
        <v>#N/A</v>
      </c>
      <c r="D60" s="99" t="s">
        <v>1244</v>
      </c>
      <c r="E60" s="99" t="s">
        <v>1245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ht="14.25" customHeight="1">
      <c r="A61" s="97">
        <f t="shared" si="2"/>
        <v>58</v>
      </c>
      <c r="B61" s="99" t="s">
        <v>1246</v>
      </c>
      <c r="C61" s="97" t="str">
        <f t="shared" si="1"/>
        <v>#N/A</v>
      </c>
      <c r="D61" s="99" t="s">
        <v>1247</v>
      </c>
      <c r="E61" s="99" t="s">
        <v>1248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ht="14.25" customHeight="1">
      <c r="A62" s="97">
        <f t="shared" si="2"/>
        <v>59</v>
      </c>
      <c r="B62" s="99">
        <v>4.0222563328E10</v>
      </c>
      <c r="C62" s="97" t="str">
        <f t="shared" si="1"/>
        <v>#N/A</v>
      </c>
      <c r="D62" s="99" t="s">
        <v>1249</v>
      </c>
      <c r="E62" s="99" t="s">
        <v>1250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ht="14.25" customHeight="1">
      <c r="A63" s="97">
        <f t="shared" si="2"/>
        <v>60</v>
      </c>
      <c r="B63" s="99">
        <v>4.0220078527E10</v>
      </c>
      <c r="C63" s="97" t="str">
        <f t="shared" si="1"/>
        <v>#N/A</v>
      </c>
      <c r="D63" s="99" t="s">
        <v>1251</v>
      </c>
      <c r="E63" s="99" t="s">
        <v>1252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ht="14.25" customHeight="1">
      <c r="A64" s="97">
        <f t="shared" si="2"/>
        <v>61</v>
      </c>
      <c r="B64" s="99" t="s">
        <v>1253</v>
      </c>
      <c r="C64" s="97" t="str">
        <f t="shared" si="1"/>
        <v>#N/A</v>
      </c>
      <c r="D64" s="99" t="s">
        <v>1254</v>
      </c>
      <c r="E64" s="99" t="s">
        <v>1255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ht="14.25" customHeight="1">
      <c r="A65" s="97">
        <f t="shared" si="2"/>
        <v>62</v>
      </c>
      <c r="B65" s="99" t="s">
        <v>1256</v>
      </c>
      <c r="C65" s="97" t="str">
        <f t="shared" si="1"/>
        <v>#N/A</v>
      </c>
      <c r="D65" s="99" t="s">
        <v>1257</v>
      </c>
      <c r="E65" s="99" t="s">
        <v>1258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ht="14.25" customHeight="1">
      <c r="A66" s="97">
        <f t="shared" si="2"/>
        <v>63</v>
      </c>
      <c r="B66" s="99">
        <v>4.0220452862E10</v>
      </c>
      <c r="C66" s="97" t="str">
        <f t="shared" si="1"/>
        <v>#N/A</v>
      </c>
      <c r="D66" s="99" t="s">
        <v>1259</v>
      </c>
      <c r="E66" s="99" t="s">
        <v>1260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ht="14.25" customHeight="1">
      <c r="A67" s="97">
        <f t="shared" si="2"/>
        <v>64</v>
      </c>
      <c r="B67" s="99" t="s">
        <v>1261</v>
      </c>
      <c r="C67" s="97" t="str">
        <f t="shared" si="1"/>
        <v>#N/A</v>
      </c>
      <c r="D67" s="99" t="s">
        <v>1262</v>
      </c>
      <c r="E67" s="99" t="s">
        <v>1263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ht="14.25" customHeight="1">
      <c r="A68" s="97">
        <f t="shared" si="2"/>
        <v>65</v>
      </c>
      <c r="B68" s="99" t="s">
        <v>1264</v>
      </c>
      <c r="C68" s="97" t="str">
        <f t="shared" si="1"/>
        <v>#N/A</v>
      </c>
      <c r="D68" s="99" t="s">
        <v>1265</v>
      </c>
      <c r="E68" s="99" t="s">
        <v>1266</v>
      </c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ht="14.25" customHeight="1">
      <c r="A69" s="97">
        <f t="shared" si="2"/>
        <v>66</v>
      </c>
      <c r="B69" s="99">
        <v>2.2300898578E10</v>
      </c>
      <c r="C69" s="97" t="str">
        <f t="shared" si="1"/>
        <v>#N/A</v>
      </c>
      <c r="D69" s="99" t="s">
        <v>1267</v>
      </c>
      <c r="E69" s="99" t="s">
        <v>1268</v>
      </c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ht="14.25" customHeight="1">
      <c r="A70" s="97">
        <f t="shared" si="2"/>
        <v>67</v>
      </c>
      <c r="B70" s="99">
        <v>4.0214316156E10</v>
      </c>
      <c r="C70" s="97" t="str">
        <f t="shared" si="1"/>
        <v>#N/A</v>
      </c>
      <c r="D70" s="99" t="s">
        <v>1269</v>
      </c>
      <c r="E70" s="99" t="s">
        <v>1270</v>
      </c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ht="14.25" customHeight="1">
      <c r="A71" s="97">
        <f t="shared" si="2"/>
        <v>68</v>
      </c>
      <c r="B71" s="99" t="s">
        <v>1271</v>
      </c>
      <c r="C71" s="97" t="str">
        <f t="shared" si="1"/>
        <v>#N/A</v>
      </c>
      <c r="D71" s="99" t="s">
        <v>1272</v>
      </c>
      <c r="E71" s="99" t="s">
        <v>1273</v>
      </c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ht="14.25" customHeight="1">
      <c r="A72" s="97">
        <f t="shared" si="2"/>
        <v>69</v>
      </c>
      <c r="B72" s="99">
        <v>4.0220395566E10</v>
      </c>
      <c r="C72" s="97" t="str">
        <f t="shared" si="1"/>
        <v>#N/A</v>
      </c>
      <c r="D72" s="99" t="s">
        <v>1274</v>
      </c>
      <c r="E72" s="99" t="s">
        <v>1275</v>
      </c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ht="14.25" customHeight="1">
      <c r="A73" s="97">
        <f t="shared" si="2"/>
        <v>70</v>
      </c>
      <c r="B73" s="99" t="s">
        <v>1276</v>
      </c>
      <c r="C73" s="97" t="str">
        <f t="shared" si="1"/>
        <v>#N/A</v>
      </c>
      <c r="D73" s="99" t="s">
        <v>1277</v>
      </c>
      <c r="E73" s="99" t="s">
        <v>1278</v>
      </c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ht="14.25" customHeight="1">
      <c r="A74" s="97">
        <f t="shared" si="2"/>
        <v>71</v>
      </c>
      <c r="B74" s="99" t="s">
        <v>1279</v>
      </c>
      <c r="C74" s="97" t="str">
        <f t="shared" si="1"/>
        <v>#N/A</v>
      </c>
      <c r="D74" s="99" t="s">
        <v>1280</v>
      </c>
      <c r="E74" s="99" t="s">
        <v>1281</v>
      </c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4.25" customHeight="1">
      <c r="A75" s="97">
        <f t="shared" si="2"/>
        <v>72</v>
      </c>
      <c r="B75" s="99">
        <v>2.230055984E10</v>
      </c>
      <c r="C75" s="97" t="str">
        <f t="shared" si="1"/>
        <v>#N/A</v>
      </c>
      <c r="D75" s="99" t="s">
        <v>1282</v>
      </c>
      <c r="E75" s="99" t="s">
        <v>1283</v>
      </c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ht="14.25" customHeight="1">
      <c r="A76" s="97">
        <f t="shared" si="2"/>
        <v>73</v>
      </c>
      <c r="B76" s="99" t="s">
        <v>1284</v>
      </c>
      <c r="C76" s="97" t="str">
        <f t="shared" si="1"/>
        <v>#N/A</v>
      </c>
      <c r="D76" s="99" t="s">
        <v>1285</v>
      </c>
      <c r="E76" s="99" t="s">
        <v>1286</v>
      </c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ht="14.25" customHeight="1">
      <c r="A77" s="97">
        <f t="shared" si="2"/>
        <v>74</v>
      </c>
      <c r="B77" s="99">
        <v>4.0225338231E10</v>
      </c>
      <c r="C77" s="97" t="str">
        <f t="shared" si="1"/>
        <v>#N/A</v>
      </c>
      <c r="D77" s="99" t="s">
        <v>1287</v>
      </c>
      <c r="E77" s="99" t="s">
        <v>1288</v>
      </c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ht="14.25" customHeight="1">
      <c r="A78" s="97">
        <f t="shared" si="2"/>
        <v>75</v>
      </c>
      <c r="B78" s="99">
        <v>4.0226559207E10</v>
      </c>
      <c r="C78" s="97" t="str">
        <f t="shared" si="1"/>
        <v>#N/A</v>
      </c>
      <c r="D78" s="99" t="s">
        <v>1289</v>
      </c>
      <c r="E78" s="99" t="s">
        <v>1290</v>
      </c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ht="14.25" customHeight="1">
      <c r="A79" s="97">
        <f t="shared" si="2"/>
        <v>76</v>
      </c>
      <c r="B79" s="99">
        <v>4.0221754084E10</v>
      </c>
      <c r="C79" s="97" t="str">
        <f t="shared" si="1"/>
        <v>#N/A</v>
      </c>
      <c r="D79" s="99" t="s">
        <v>1291</v>
      </c>
      <c r="E79" s="99" t="s">
        <v>1292</v>
      </c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ht="14.25" customHeight="1">
      <c r="A80" s="97">
        <f t="shared" si="2"/>
        <v>77</v>
      </c>
      <c r="B80" s="99">
        <v>4.02091433E10</v>
      </c>
      <c r="C80" s="97" t="str">
        <f t="shared" si="1"/>
        <v>#N/A</v>
      </c>
      <c r="D80" s="99" t="s">
        <v>1293</v>
      </c>
      <c r="E80" s="99" t="s">
        <v>1294</v>
      </c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ht="14.25" customHeight="1">
      <c r="A81" s="97">
        <f t="shared" si="2"/>
        <v>78</v>
      </c>
      <c r="B81" s="99" t="s">
        <v>1295</v>
      </c>
      <c r="C81" s="97" t="str">
        <f t="shared" si="1"/>
        <v>#N/A</v>
      </c>
      <c r="D81" s="99" t="s">
        <v>1113</v>
      </c>
      <c r="E81" s="99" t="s">
        <v>1296</v>
      </c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ht="14.25" customHeight="1">
      <c r="A82" s="97">
        <f t="shared" si="2"/>
        <v>79</v>
      </c>
      <c r="B82" s="99" t="s">
        <v>1297</v>
      </c>
      <c r="C82" s="97" t="str">
        <f t="shared" si="1"/>
        <v>#N/A</v>
      </c>
      <c r="D82" s="99" t="s">
        <v>1298</v>
      </c>
      <c r="E82" s="99" t="s">
        <v>1299</v>
      </c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ht="14.25" customHeight="1">
      <c r="A83" s="97">
        <f t="shared" si="2"/>
        <v>80</v>
      </c>
      <c r="B83" s="99">
        <v>4.0221251586E10</v>
      </c>
      <c r="C83" s="97" t="str">
        <f t="shared" si="1"/>
        <v>#N/A</v>
      </c>
      <c r="D83" s="99" t="s">
        <v>1300</v>
      </c>
      <c r="E83" s="99" t="s">
        <v>1301</v>
      </c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ht="14.25" customHeight="1">
      <c r="A84" s="97">
        <f t="shared" si="2"/>
        <v>81</v>
      </c>
      <c r="B84" s="99" t="s">
        <v>1302</v>
      </c>
      <c r="C84" s="97" t="str">
        <f t="shared" si="1"/>
        <v>#N/A</v>
      </c>
      <c r="D84" s="99" t="s">
        <v>1303</v>
      </c>
      <c r="E84" s="99" t="s">
        <v>1304</v>
      </c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ht="14.25" customHeight="1">
      <c r="A85" s="97">
        <f t="shared" si="2"/>
        <v>82</v>
      </c>
      <c r="B85" s="99">
        <v>2.2300424706E10</v>
      </c>
      <c r="C85" s="97" t="str">
        <f t="shared" si="1"/>
        <v>#N/A</v>
      </c>
      <c r="D85" s="99" t="s">
        <v>1305</v>
      </c>
      <c r="E85" s="99" t="s">
        <v>1306</v>
      </c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ht="14.25" customHeight="1">
      <c r="A86" s="97">
        <f t="shared" si="2"/>
        <v>83</v>
      </c>
      <c r="B86" s="99" t="s">
        <v>1307</v>
      </c>
      <c r="C86" s="97" t="str">
        <f t="shared" si="1"/>
        <v>#N/A</v>
      </c>
      <c r="D86" s="99" t="s">
        <v>1308</v>
      </c>
      <c r="E86" s="99" t="s">
        <v>1309</v>
      </c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ht="14.25" customHeight="1">
      <c r="A87" s="97">
        <f t="shared" si="2"/>
        <v>84</v>
      </c>
      <c r="B87" s="99">
        <v>4.0211344086E10</v>
      </c>
      <c r="C87" s="97" t="str">
        <f t="shared" si="1"/>
        <v>#N/A</v>
      </c>
      <c r="D87" s="99" t="s">
        <v>1310</v>
      </c>
      <c r="E87" s="99" t="s">
        <v>1311</v>
      </c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ht="14.25" customHeight="1">
      <c r="A88" s="97">
        <f t="shared" si="2"/>
        <v>85</v>
      </c>
      <c r="B88" s="99">
        <v>4.0213486414E10</v>
      </c>
      <c r="C88" s="97" t="str">
        <f t="shared" si="1"/>
        <v>#N/A</v>
      </c>
      <c r="D88" s="99" t="s">
        <v>1312</v>
      </c>
      <c r="E88" s="99" t="s">
        <v>1313</v>
      </c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ht="14.25" customHeight="1">
      <c r="A89" s="97">
        <f t="shared" si="2"/>
        <v>86</v>
      </c>
      <c r="B89" s="99" t="s">
        <v>1314</v>
      </c>
      <c r="C89" s="97" t="str">
        <f t="shared" si="1"/>
        <v>#N/A</v>
      </c>
      <c r="D89" s="99" t="s">
        <v>1315</v>
      </c>
      <c r="E89" s="99" t="s">
        <v>1316</v>
      </c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ht="14.25" customHeight="1">
      <c r="A90" s="97">
        <f t="shared" si="2"/>
        <v>87</v>
      </c>
      <c r="B90" s="99">
        <v>4.022603581E10</v>
      </c>
      <c r="C90" s="97" t="str">
        <f t="shared" si="1"/>
        <v>#N/A</v>
      </c>
      <c r="D90" s="99" t="s">
        <v>1317</v>
      </c>
      <c r="E90" s="99" t="s">
        <v>1318</v>
      </c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ht="14.25" customHeight="1">
      <c r="A91" s="97">
        <f t="shared" si="2"/>
        <v>88</v>
      </c>
      <c r="B91" s="99" t="s">
        <v>1319</v>
      </c>
      <c r="C91" s="97" t="str">
        <f t="shared" si="1"/>
        <v>#N/A</v>
      </c>
      <c r="D91" s="99" t="s">
        <v>1320</v>
      </c>
      <c r="E91" s="99" t="s">
        <v>1321</v>
      </c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ht="14.25" customHeight="1">
      <c r="A92" s="97">
        <f t="shared" si="2"/>
        <v>89</v>
      </c>
      <c r="B92" s="99" t="s">
        <v>1322</v>
      </c>
      <c r="C92" s="97" t="str">
        <f t="shared" si="1"/>
        <v>#N/A</v>
      </c>
      <c r="D92" s="99" t="s">
        <v>1323</v>
      </c>
      <c r="E92" s="99" t="s">
        <v>1324</v>
      </c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ht="14.25" customHeight="1">
      <c r="A93" s="97">
        <f t="shared" si="2"/>
        <v>90</v>
      </c>
      <c r="B93" s="99" t="s">
        <v>1325</v>
      </c>
      <c r="C93" s="97" t="str">
        <f t="shared" si="1"/>
        <v>#N/A</v>
      </c>
      <c r="D93" s="99" t="s">
        <v>1326</v>
      </c>
      <c r="E93" s="99" t="s">
        <v>1327</v>
      </c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ht="14.25" customHeight="1">
      <c r="A94" s="97">
        <f t="shared" si="2"/>
        <v>91</v>
      </c>
      <c r="B94" s="99" t="s">
        <v>1328</v>
      </c>
      <c r="C94" s="97" t="str">
        <f t="shared" si="1"/>
        <v>#N/A</v>
      </c>
      <c r="D94" s="99" t="s">
        <v>1329</v>
      </c>
      <c r="E94" s="99" t="s">
        <v>1330</v>
      </c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ht="14.25" customHeight="1">
      <c r="A95" s="97">
        <f t="shared" si="2"/>
        <v>92</v>
      </c>
      <c r="B95" s="99">
        <v>4.0227901309E10</v>
      </c>
      <c r="C95" s="97" t="str">
        <f t="shared" si="1"/>
        <v>#N/A</v>
      </c>
      <c r="D95" s="99" t="s">
        <v>1331</v>
      </c>
      <c r="E95" s="99" t="s">
        <v>1332</v>
      </c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ht="14.25" customHeight="1">
      <c r="A96" s="97">
        <f t="shared" si="2"/>
        <v>93</v>
      </c>
      <c r="B96" s="99">
        <v>4.0213596543E10</v>
      </c>
      <c r="C96" s="97" t="str">
        <f t="shared" si="1"/>
        <v>#N/A</v>
      </c>
      <c r="D96" s="99" t="s">
        <v>1333</v>
      </c>
      <c r="E96" s="99" t="s">
        <v>1334</v>
      </c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ht="14.25" customHeight="1">
      <c r="A97" s="97">
        <f t="shared" si="2"/>
        <v>94</v>
      </c>
      <c r="B97" s="99" t="s">
        <v>1335</v>
      </c>
      <c r="C97" s="97" t="str">
        <f t="shared" si="1"/>
        <v>#N/A</v>
      </c>
      <c r="D97" s="99" t="s">
        <v>1336</v>
      </c>
      <c r="E97" s="99" t="s">
        <v>1337</v>
      </c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ht="14.25" customHeight="1">
      <c r="A98" s="97">
        <f t="shared" si="2"/>
        <v>95</v>
      </c>
      <c r="B98" s="99" t="s">
        <v>1338</v>
      </c>
      <c r="C98" s="97" t="str">
        <f t="shared" si="1"/>
        <v>#N/A</v>
      </c>
      <c r="D98" s="99" t="s">
        <v>1339</v>
      </c>
      <c r="E98" s="99" t="s">
        <v>1340</v>
      </c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ht="14.25" customHeight="1">
      <c r="A99" s="97">
        <f t="shared" si="2"/>
        <v>96</v>
      </c>
      <c r="B99" s="99">
        <v>4.0223214616E10</v>
      </c>
      <c r="C99" s="97" t="str">
        <f t="shared" si="1"/>
        <v>#N/A</v>
      </c>
      <c r="D99" s="99" t="s">
        <v>1341</v>
      </c>
      <c r="E99" s="99" t="s">
        <v>1342</v>
      </c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ht="14.25" customHeight="1">
      <c r="A100" s="97">
        <f t="shared" si="2"/>
        <v>97</v>
      </c>
      <c r="B100" s="99" t="s">
        <v>1343</v>
      </c>
      <c r="C100" s="97" t="str">
        <f t="shared" si="1"/>
        <v>#N/A</v>
      </c>
      <c r="D100" s="99" t="s">
        <v>1344</v>
      </c>
      <c r="E100" s="99" t="s">
        <v>1345</v>
      </c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ht="14.25" customHeight="1">
      <c r="A101" s="97">
        <f t="shared" si="2"/>
        <v>98</v>
      </c>
      <c r="B101" s="99">
        <v>4.0226364814E10</v>
      </c>
      <c r="C101" s="97" t="str">
        <f t="shared" si="1"/>
        <v>#N/A</v>
      </c>
      <c r="D101" s="99" t="s">
        <v>1346</v>
      </c>
      <c r="E101" s="99" t="s">
        <v>1347</v>
      </c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ht="14.25" customHeight="1">
      <c r="A102" s="97">
        <f t="shared" si="2"/>
        <v>99</v>
      </c>
      <c r="B102" s="99" t="s">
        <v>1348</v>
      </c>
      <c r="C102" s="97" t="str">
        <f t="shared" si="1"/>
        <v>#N/A</v>
      </c>
      <c r="D102" s="99" t="s">
        <v>1349</v>
      </c>
      <c r="E102" s="99" t="s">
        <v>1350</v>
      </c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ht="14.25" customHeight="1">
      <c r="A103" s="97">
        <f t="shared" si="2"/>
        <v>100</v>
      </c>
      <c r="B103" s="99" t="s">
        <v>1351</v>
      </c>
      <c r="C103" s="97" t="str">
        <f t="shared" si="1"/>
        <v>#N/A</v>
      </c>
      <c r="D103" s="99" t="s">
        <v>1352</v>
      </c>
      <c r="E103" s="99" t="s">
        <v>1353</v>
      </c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ht="14.25" customHeight="1">
      <c r="A104" s="97">
        <f t="shared" si="2"/>
        <v>101</v>
      </c>
      <c r="B104" s="99">
        <v>4.0225063516E10</v>
      </c>
      <c r="C104" s="97" t="str">
        <f t="shared" si="1"/>
        <v>#N/A</v>
      </c>
      <c r="D104" s="99" t="s">
        <v>1354</v>
      </c>
      <c r="E104" s="99" t="s">
        <v>1355</v>
      </c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ht="14.25" customHeight="1">
      <c r="A105" s="97">
        <f t="shared" si="2"/>
        <v>102</v>
      </c>
      <c r="B105" s="99">
        <v>2.2300717133E10</v>
      </c>
      <c r="C105" s="97" t="str">
        <f t="shared" si="1"/>
        <v>#N/A</v>
      </c>
      <c r="D105" s="99" t="s">
        <v>1356</v>
      </c>
      <c r="E105" s="99" t="s">
        <v>1357</v>
      </c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ht="14.25" customHeight="1">
      <c r="A106" s="97">
        <f t="shared" si="2"/>
        <v>103</v>
      </c>
      <c r="B106" s="99" t="s">
        <v>1358</v>
      </c>
      <c r="C106" s="97" t="str">
        <f t="shared" si="1"/>
        <v>#N/A</v>
      </c>
      <c r="D106" s="99" t="s">
        <v>1118</v>
      </c>
      <c r="E106" s="99" t="s">
        <v>1359</v>
      </c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ht="14.25" customHeight="1">
      <c r="A107" s="97">
        <f t="shared" si="2"/>
        <v>104</v>
      </c>
      <c r="B107" s="99" t="s">
        <v>1360</v>
      </c>
      <c r="C107" s="97" t="str">
        <f t="shared" si="1"/>
        <v>#N/A</v>
      </c>
      <c r="D107" s="99" t="s">
        <v>1361</v>
      </c>
      <c r="E107" s="99" t="s">
        <v>1327</v>
      </c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ht="14.25" customHeight="1">
      <c r="A108" s="97">
        <f t="shared" si="2"/>
        <v>105</v>
      </c>
      <c r="B108" s="99">
        <v>4.0223910171E10</v>
      </c>
      <c r="C108" s="97" t="str">
        <f t="shared" si="1"/>
        <v>#N/A</v>
      </c>
      <c r="D108" s="99" t="s">
        <v>1362</v>
      </c>
      <c r="E108" s="99" t="s">
        <v>1363</v>
      </c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ht="14.25" customHeight="1">
      <c r="A109" s="97">
        <f t="shared" si="2"/>
        <v>106</v>
      </c>
      <c r="B109" s="99">
        <v>1.0900049635E10</v>
      </c>
      <c r="C109" s="97" t="str">
        <f t="shared" si="1"/>
        <v>#N/A</v>
      </c>
      <c r="D109" s="99" t="s">
        <v>1364</v>
      </c>
      <c r="E109" s="99" t="s">
        <v>1365</v>
      </c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ht="14.25" customHeight="1">
      <c r="A110" s="97">
        <f t="shared" si="2"/>
        <v>107</v>
      </c>
      <c r="B110" s="99" t="s">
        <v>1366</v>
      </c>
      <c r="C110" s="97" t="str">
        <f t="shared" si="1"/>
        <v>#N/A</v>
      </c>
      <c r="D110" s="99" t="s">
        <v>1367</v>
      </c>
      <c r="E110" s="99" t="s">
        <v>1368</v>
      </c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ht="14.25" customHeight="1">
      <c r="A111" s="97">
        <f t="shared" si="2"/>
        <v>108</v>
      </c>
      <c r="B111" s="99" t="s">
        <v>1369</v>
      </c>
      <c r="C111" s="97" t="str">
        <f t="shared" si="1"/>
        <v>#N/A</v>
      </c>
      <c r="D111" s="99" t="s">
        <v>1113</v>
      </c>
      <c r="E111" s="99" t="s">
        <v>1370</v>
      </c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ht="14.25" customHeight="1">
      <c r="A112" s="97">
        <f t="shared" si="2"/>
        <v>109</v>
      </c>
      <c r="B112" s="99" t="s">
        <v>1371</v>
      </c>
      <c r="C112" s="97" t="str">
        <f t="shared" si="1"/>
        <v>#N/A</v>
      </c>
      <c r="D112" s="99" t="s">
        <v>1372</v>
      </c>
      <c r="E112" s="99" t="s">
        <v>1373</v>
      </c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ht="14.25" customHeight="1">
      <c r="A113" s="97">
        <f t="shared" si="2"/>
        <v>110</v>
      </c>
      <c r="B113" s="99" t="s">
        <v>1374</v>
      </c>
      <c r="C113" s="97" t="str">
        <f t="shared" si="1"/>
        <v>#N/A</v>
      </c>
      <c r="D113" s="99" t="s">
        <v>1375</v>
      </c>
      <c r="E113" s="99" t="s">
        <v>1376</v>
      </c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ht="14.25" customHeight="1">
      <c r="A114" s="97">
        <f t="shared" si="2"/>
        <v>111</v>
      </c>
      <c r="B114" s="99">
        <v>4.0220812743E10</v>
      </c>
      <c r="C114" s="97" t="str">
        <f t="shared" si="1"/>
        <v>#N/A</v>
      </c>
      <c r="D114" s="99" t="s">
        <v>1377</v>
      </c>
      <c r="E114" s="99" t="s">
        <v>1378</v>
      </c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ht="14.25" customHeight="1">
      <c r="A115" s="97">
        <f t="shared" si="2"/>
        <v>112</v>
      </c>
      <c r="B115" s="99">
        <v>1.0600056203E10</v>
      </c>
      <c r="C115" s="97" t="str">
        <f t="shared" si="1"/>
        <v>#N/A</v>
      </c>
      <c r="D115" s="99" t="s">
        <v>1379</v>
      </c>
      <c r="E115" s="99" t="s">
        <v>1380</v>
      </c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ht="14.25" customHeight="1">
      <c r="A116" s="97">
        <f t="shared" si="2"/>
        <v>113</v>
      </c>
      <c r="B116" s="99" t="s">
        <v>1381</v>
      </c>
      <c r="C116" s="97" t="str">
        <f t="shared" si="1"/>
        <v>#N/A</v>
      </c>
      <c r="D116" s="99" t="s">
        <v>1382</v>
      </c>
      <c r="E116" s="99" t="s">
        <v>1383</v>
      </c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ht="14.25" customHeight="1">
      <c r="A117" s="97">
        <f t="shared" si="2"/>
        <v>114</v>
      </c>
      <c r="B117" s="99" t="s">
        <v>1384</v>
      </c>
      <c r="C117" s="97" t="str">
        <f t="shared" si="1"/>
        <v>#N/A</v>
      </c>
      <c r="D117" s="99" t="s">
        <v>1385</v>
      </c>
      <c r="E117" s="99" t="s">
        <v>1386</v>
      </c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ht="14.25" customHeight="1">
      <c r="A118" s="97">
        <f t="shared" si="2"/>
        <v>115</v>
      </c>
      <c r="B118" s="99">
        <v>2.2300934258E10</v>
      </c>
      <c r="C118" s="97" t="str">
        <f t="shared" si="1"/>
        <v>#N/A</v>
      </c>
      <c r="D118" s="99" t="s">
        <v>1387</v>
      </c>
      <c r="E118" s="99" t="s">
        <v>1388</v>
      </c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ht="14.25" customHeight="1">
      <c r="A119" s="97">
        <f t="shared" si="2"/>
        <v>116</v>
      </c>
      <c r="B119" s="99" t="s">
        <v>1389</v>
      </c>
      <c r="C119" s="97" t="str">
        <f t="shared" si="1"/>
        <v>#N/A</v>
      </c>
      <c r="D119" s="99" t="s">
        <v>1390</v>
      </c>
      <c r="E119" s="99" t="s">
        <v>1391</v>
      </c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ht="14.25" customHeight="1">
      <c r="A120" s="97">
        <f t="shared" si="2"/>
        <v>117</v>
      </c>
      <c r="B120" s="99" t="s">
        <v>1392</v>
      </c>
      <c r="C120" s="97" t="str">
        <f t="shared" si="1"/>
        <v>#N/A</v>
      </c>
      <c r="D120" s="99" t="s">
        <v>1393</v>
      </c>
      <c r="E120" s="99" t="s">
        <v>1394</v>
      </c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ht="14.25" customHeight="1">
      <c r="A121" s="97">
        <f t="shared" si="2"/>
        <v>118</v>
      </c>
      <c r="B121" s="99">
        <v>4.0220777276E10</v>
      </c>
      <c r="C121" s="97" t="str">
        <f t="shared" si="1"/>
        <v>#N/A</v>
      </c>
      <c r="D121" s="99" t="s">
        <v>1395</v>
      </c>
      <c r="E121" s="99" t="s">
        <v>1396</v>
      </c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ht="14.25" customHeight="1">
      <c r="A122" s="97">
        <f t="shared" si="2"/>
        <v>119</v>
      </c>
      <c r="B122" s="99" t="s">
        <v>1397</v>
      </c>
      <c r="C122" s="97" t="str">
        <f t="shared" si="1"/>
        <v>#N/A</v>
      </c>
      <c r="D122" s="99" t="s">
        <v>1398</v>
      </c>
      <c r="E122" s="99" t="s">
        <v>1399</v>
      </c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ht="14.25" customHeight="1">
      <c r="A123" s="97">
        <f t="shared" si="2"/>
        <v>120</v>
      </c>
      <c r="B123" s="99" t="s">
        <v>1400</v>
      </c>
      <c r="C123" s="97" t="str">
        <f t="shared" si="1"/>
        <v>#N/A</v>
      </c>
      <c r="D123" s="99" t="s">
        <v>1401</v>
      </c>
      <c r="E123" s="99" t="s">
        <v>1402</v>
      </c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ht="14.25" customHeight="1">
      <c r="A124" s="97">
        <f t="shared" si="2"/>
        <v>121</v>
      </c>
      <c r="B124" s="99" t="s">
        <v>1403</v>
      </c>
      <c r="C124" s="97" t="str">
        <f t="shared" si="1"/>
        <v>#N/A</v>
      </c>
      <c r="D124" s="99" t="s">
        <v>1404</v>
      </c>
      <c r="E124" s="99" t="s">
        <v>1405</v>
      </c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ht="14.25" customHeight="1">
      <c r="A125" s="97">
        <f t="shared" si="2"/>
        <v>122</v>
      </c>
      <c r="B125" s="99" t="s">
        <v>1406</v>
      </c>
      <c r="C125" s="97" t="str">
        <f t="shared" si="1"/>
        <v>#N/A</v>
      </c>
      <c r="D125" s="99" t="s">
        <v>1407</v>
      </c>
      <c r="E125" s="99" t="s">
        <v>1408</v>
      </c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ht="14.25" customHeight="1">
      <c r="A126" s="97">
        <f t="shared" si="2"/>
        <v>123</v>
      </c>
      <c r="B126" s="99">
        <v>4.0222521458E10</v>
      </c>
      <c r="C126" s="97" t="str">
        <f t="shared" si="1"/>
        <v>#N/A</v>
      </c>
      <c r="D126" s="99" t="s">
        <v>1409</v>
      </c>
      <c r="E126" s="99" t="s">
        <v>1410</v>
      </c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ht="14.25" customHeight="1">
      <c r="A127" s="97">
        <f t="shared" si="2"/>
        <v>124</v>
      </c>
      <c r="B127" s="99" t="s">
        <v>1411</v>
      </c>
      <c r="C127" s="97" t="str">
        <f t="shared" si="1"/>
        <v>#N/A</v>
      </c>
      <c r="D127" s="99" t="s">
        <v>1412</v>
      </c>
      <c r="E127" s="99" t="s">
        <v>1413</v>
      </c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ht="14.25" customHeight="1">
      <c r="A128" s="97">
        <f t="shared" si="2"/>
        <v>125</v>
      </c>
      <c r="B128" s="99">
        <v>4.0211814146E10</v>
      </c>
      <c r="C128" s="97" t="str">
        <f t="shared" si="1"/>
        <v>#N/A</v>
      </c>
      <c r="D128" s="99" t="s">
        <v>1414</v>
      </c>
      <c r="E128" s="99" t="s">
        <v>1415</v>
      </c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ht="14.25" customHeight="1">
      <c r="A129" s="97">
        <f t="shared" si="2"/>
        <v>126</v>
      </c>
      <c r="B129" s="99" t="s">
        <v>1416</v>
      </c>
      <c r="C129" s="97" t="str">
        <f t="shared" si="1"/>
        <v>#N/A</v>
      </c>
      <c r="D129" s="99" t="s">
        <v>1417</v>
      </c>
      <c r="E129" s="99" t="s">
        <v>1418</v>
      </c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ht="14.25" customHeight="1">
      <c r="A130" s="97">
        <f t="shared" si="2"/>
        <v>127</v>
      </c>
      <c r="B130" s="99" t="s">
        <v>1419</v>
      </c>
      <c r="C130" s="97" t="str">
        <f t="shared" si="1"/>
        <v>#N/A</v>
      </c>
      <c r="D130" s="99" t="s">
        <v>1420</v>
      </c>
      <c r="E130" s="99" t="s">
        <v>1421</v>
      </c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ht="14.25" customHeight="1">
      <c r="A131" s="97">
        <f t="shared" si="2"/>
        <v>128</v>
      </c>
      <c r="B131" s="99">
        <v>2.2300596321E10</v>
      </c>
      <c r="C131" s="97" t="str">
        <f t="shared" si="1"/>
        <v>#N/A</v>
      </c>
      <c r="D131" s="99" t="s">
        <v>1422</v>
      </c>
      <c r="E131" s="99" t="s">
        <v>1423</v>
      </c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ht="14.25" customHeight="1">
      <c r="A132" s="97">
        <f t="shared" si="2"/>
        <v>129</v>
      </c>
      <c r="B132" s="99">
        <v>2.2300176546E10</v>
      </c>
      <c r="C132" s="97" t="str">
        <f t="shared" si="1"/>
        <v>#N/A</v>
      </c>
      <c r="D132" s="99" t="s">
        <v>1424</v>
      </c>
      <c r="E132" s="99" t="s">
        <v>1425</v>
      </c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ht="14.25" customHeight="1">
      <c r="A133" s="97">
        <f t="shared" si="2"/>
        <v>130</v>
      </c>
      <c r="B133" s="99">
        <v>4.0213544337E10</v>
      </c>
      <c r="C133" s="97" t="str">
        <f t="shared" si="1"/>
        <v>#N/A</v>
      </c>
      <c r="D133" s="99" t="s">
        <v>1426</v>
      </c>
      <c r="E133" s="99" t="s">
        <v>1427</v>
      </c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ht="14.25" customHeight="1">
      <c r="A134" s="97">
        <f t="shared" si="2"/>
        <v>131</v>
      </c>
      <c r="B134" s="99" t="s">
        <v>1428</v>
      </c>
      <c r="C134" s="97" t="str">
        <f t="shared" si="1"/>
        <v>#N/A</v>
      </c>
      <c r="D134" s="99" t="s">
        <v>1429</v>
      </c>
      <c r="E134" s="99" t="s">
        <v>1430</v>
      </c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ht="14.25" customHeight="1">
      <c r="A135" s="97">
        <f t="shared" si="2"/>
        <v>132</v>
      </c>
      <c r="B135" s="99" t="s">
        <v>1431</v>
      </c>
      <c r="C135" s="97" t="str">
        <f t="shared" si="1"/>
        <v>#N/A</v>
      </c>
      <c r="D135" s="99" t="s">
        <v>1432</v>
      </c>
      <c r="E135" s="99" t="s">
        <v>1433</v>
      </c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ht="14.25" customHeight="1">
      <c r="A136" s="97">
        <f t="shared" si="2"/>
        <v>133</v>
      </c>
      <c r="B136" s="99" t="s">
        <v>1434</v>
      </c>
      <c r="C136" s="97" t="str">
        <f t="shared" si="1"/>
        <v>#N/A</v>
      </c>
      <c r="D136" s="99" t="s">
        <v>1435</v>
      </c>
      <c r="E136" s="99" t="s">
        <v>1436</v>
      </c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ht="14.25" customHeight="1">
      <c r="A137" s="97">
        <f t="shared" si="2"/>
        <v>134</v>
      </c>
      <c r="B137" s="99" t="s">
        <v>1437</v>
      </c>
      <c r="C137" s="97" t="str">
        <f t="shared" si="1"/>
        <v>#N/A</v>
      </c>
      <c r="D137" s="99" t="s">
        <v>1438</v>
      </c>
      <c r="E137" s="99" t="s">
        <v>1439</v>
      </c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ht="14.25" customHeight="1">
      <c r="A138" s="97">
        <f t="shared" si="2"/>
        <v>135</v>
      </c>
      <c r="B138" s="99" t="s">
        <v>1440</v>
      </c>
      <c r="C138" s="97" t="str">
        <f t="shared" si="1"/>
        <v>#N/A</v>
      </c>
      <c r="D138" s="99" t="s">
        <v>1441</v>
      </c>
      <c r="E138" s="99" t="s">
        <v>1442</v>
      </c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ht="14.25" customHeight="1">
      <c r="A139" s="97">
        <f t="shared" si="2"/>
        <v>136</v>
      </c>
      <c r="B139" s="99">
        <v>4.0200424063E10</v>
      </c>
      <c r="C139" s="97" t="str">
        <f t="shared" si="1"/>
        <v>#N/A</v>
      </c>
      <c r="D139" s="99" t="s">
        <v>1443</v>
      </c>
      <c r="E139" s="99" t="s">
        <v>1444</v>
      </c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ht="14.25" customHeight="1">
      <c r="A140" s="97">
        <f t="shared" si="2"/>
        <v>137</v>
      </c>
      <c r="B140" s="99" t="s">
        <v>1445</v>
      </c>
      <c r="C140" s="97" t="str">
        <f t="shared" si="1"/>
        <v>#N/A</v>
      </c>
      <c r="D140" s="99" t="s">
        <v>1446</v>
      </c>
      <c r="E140" s="99" t="s">
        <v>1447</v>
      </c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ht="14.25" customHeight="1">
      <c r="A141" s="97">
        <f t="shared" si="2"/>
        <v>138</v>
      </c>
      <c r="B141" s="99">
        <v>4.0222405306E10</v>
      </c>
      <c r="C141" s="97" t="str">
        <f t="shared" si="1"/>
        <v>#N/A</v>
      </c>
      <c r="D141" s="99" t="s">
        <v>1448</v>
      </c>
      <c r="E141" s="99" t="s">
        <v>1449</v>
      </c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ht="14.25" customHeight="1">
      <c r="A142" s="97">
        <f t="shared" si="2"/>
        <v>139</v>
      </c>
      <c r="B142" s="99">
        <v>4.0225224498E10</v>
      </c>
      <c r="C142" s="97" t="str">
        <f t="shared" si="1"/>
        <v>#N/A</v>
      </c>
      <c r="D142" s="99" t="s">
        <v>1450</v>
      </c>
      <c r="E142" s="99" t="s">
        <v>1451</v>
      </c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ht="14.25" customHeight="1">
      <c r="A143" s="97">
        <f t="shared" si="2"/>
        <v>140</v>
      </c>
      <c r="B143" s="99" t="s">
        <v>1452</v>
      </c>
      <c r="C143" s="97" t="str">
        <f t="shared" si="1"/>
        <v>#N/A</v>
      </c>
      <c r="D143" s="99" t="s">
        <v>1453</v>
      </c>
      <c r="E143" s="99" t="s">
        <v>1454</v>
      </c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ht="14.25" customHeight="1">
      <c r="A144" s="97">
        <f t="shared" si="2"/>
        <v>141</v>
      </c>
      <c r="B144" s="99" t="s">
        <v>1455</v>
      </c>
      <c r="C144" s="97" t="str">
        <f t="shared" si="1"/>
        <v>#N/A</v>
      </c>
      <c r="D144" s="99" t="s">
        <v>1456</v>
      </c>
      <c r="E144" s="99" t="s">
        <v>1457</v>
      </c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ht="14.25" customHeight="1">
      <c r="A145" s="97">
        <f t="shared" si="2"/>
        <v>142</v>
      </c>
      <c r="B145" s="99" t="s">
        <v>1458</v>
      </c>
      <c r="C145" s="97" t="str">
        <f t="shared" si="1"/>
        <v>#N/A</v>
      </c>
      <c r="D145" s="99" t="s">
        <v>1459</v>
      </c>
      <c r="E145" s="99" t="s">
        <v>1460</v>
      </c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ht="14.25" customHeight="1">
      <c r="A146" s="97">
        <f t="shared" si="2"/>
        <v>143</v>
      </c>
      <c r="B146" s="99">
        <v>2.2300631284E10</v>
      </c>
      <c r="C146" s="97" t="str">
        <f t="shared" si="1"/>
        <v>#N/A</v>
      </c>
      <c r="D146" s="99" t="s">
        <v>1461</v>
      </c>
      <c r="E146" s="99" t="s">
        <v>1462</v>
      </c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ht="14.25" customHeight="1">
      <c r="A147" s="97">
        <f t="shared" si="2"/>
        <v>144</v>
      </c>
      <c r="B147" s="99" t="s">
        <v>1463</v>
      </c>
      <c r="C147" s="97" t="str">
        <f t="shared" si="1"/>
        <v>#N/A</v>
      </c>
      <c r="D147" s="99" t="s">
        <v>1464</v>
      </c>
      <c r="E147" s="99" t="s">
        <v>1465</v>
      </c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ht="14.25" customHeight="1">
      <c r="A148" s="97">
        <f t="shared" si="2"/>
        <v>145</v>
      </c>
      <c r="B148" s="99" t="s">
        <v>1466</v>
      </c>
      <c r="C148" s="97" t="str">
        <f t="shared" si="1"/>
        <v>#N/A</v>
      </c>
      <c r="D148" s="99" t="s">
        <v>1467</v>
      </c>
      <c r="E148" s="99" t="s">
        <v>1468</v>
      </c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ht="14.25" customHeight="1">
      <c r="A149" s="97">
        <f t="shared" si="2"/>
        <v>146</v>
      </c>
      <c r="B149" s="99">
        <v>2.2300805193E10</v>
      </c>
      <c r="C149" s="97" t="str">
        <f t="shared" si="1"/>
        <v>#N/A</v>
      </c>
      <c r="D149" s="99" t="s">
        <v>1469</v>
      </c>
      <c r="E149" s="99" t="s">
        <v>1470</v>
      </c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ht="14.25" customHeight="1">
      <c r="A150" s="97">
        <f t="shared" si="2"/>
        <v>147</v>
      </c>
      <c r="B150" s="99">
        <v>2.2300809294E10</v>
      </c>
      <c r="C150" s="97" t="str">
        <f t="shared" si="1"/>
        <v>#N/A</v>
      </c>
      <c r="D150" s="99" t="s">
        <v>1471</v>
      </c>
      <c r="E150" s="99" t="s">
        <v>1472</v>
      </c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ht="14.25" customHeight="1">
      <c r="A151" s="97">
        <f t="shared" si="2"/>
        <v>148</v>
      </c>
      <c r="B151" s="99" t="s">
        <v>1473</v>
      </c>
      <c r="C151" s="97" t="str">
        <f t="shared" si="1"/>
        <v>#N/A</v>
      </c>
      <c r="D151" s="99" t="s">
        <v>1474</v>
      </c>
      <c r="E151" s="99" t="s">
        <v>1475</v>
      </c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ht="14.25" customHeight="1">
      <c r="A152" s="97">
        <f t="shared" si="2"/>
        <v>149</v>
      </c>
      <c r="B152" s="99" t="s">
        <v>1476</v>
      </c>
      <c r="C152" s="97" t="str">
        <f t="shared" si="1"/>
        <v>#N/A</v>
      </c>
      <c r="D152" s="99" t="s">
        <v>1477</v>
      </c>
      <c r="E152" s="99" t="s">
        <v>1478</v>
      </c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ht="14.25" customHeight="1">
      <c r="A153" s="97">
        <f t="shared" si="2"/>
        <v>150</v>
      </c>
      <c r="B153" s="99">
        <v>2.2301225862E10</v>
      </c>
      <c r="C153" s="97" t="str">
        <f t="shared" si="1"/>
        <v>#N/A</v>
      </c>
      <c r="D153" s="99" t="s">
        <v>1479</v>
      </c>
      <c r="E153" s="99" t="s">
        <v>1480</v>
      </c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ht="14.25" customHeight="1">
      <c r="A154" s="97">
        <f t="shared" si="2"/>
        <v>151</v>
      </c>
      <c r="B154" s="99" t="s">
        <v>1481</v>
      </c>
      <c r="C154" s="97" t="str">
        <f t="shared" si="1"/>
        <v>#N/A</v>
      </c>
      <c r="D154" s="99" t="s">
        <v>1482</v>
      </c>
      <c r="E154" s="99" t="s">
        <v>1483</v>
      </c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ht="14.25" customHeight="1">
      <c r="A155" s="97">
        <f t="shared" si="2"/>
        <v>152</v>
      </c>
      <c r="B155" s="99" t="s">
        <v>1484</v>
      </c>
      <c r="C155" s="97" t="str">
        <f t="shared" si="1"/>
        <v>#N/A</v>
      </c>
      <c r="D155" s="99" t="s">
        <v>1485</v>
      </c>
      <c r="E155" s="99" t="s">
        <v>1486</v>
      </c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ht="14.25" customHeight="1">
      <c r="A156" s="97">
        <f t="shared" si="2"/>
        <v>153</v>
      </c>
      <c r="B156" s="99">
        <v>4.0212478073E10</v>
      </c>
      <c r="C156" s="97" t="str">
        <f t="shared" si="1"/>
        <v>#N/A</v>
      </c>
      <c r="D156" s="99" t="s">
        <v>1487</v>
      </c>
      <c r="E156" s="99" t="s">
        <v>1488</v>
      </c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ht="14.25" customHeight="1">
      <c r="A157" s="97">
        <f t="shared" si="2"/>
        <v>154</v>
      </c>
      <c r="B157" s="99" t="s">
        <v>1489</v>
      </c>
      <c r="C157" s="97" t="str">
        <f t="shared" si="1"/>
        <v>#N/A</v>
      </c>
      <c r="D157" s="99" t="s">
        <v>1490</v>
      </c>
      <c r="E157" s="99" t="s">
        <v>1491</v>
      </c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ht="14.25" customHeight="1">
      <c r="A158" s="97">
        <f t="shared" si="2"/>
        <v>155</v>
      </c>
      <c r="B158" s="99" t="s">
        <v>1492</v>
      </c>
      <c r="C158" s="97" t="str">
        <f t="shared" si="1"/>
        <v>#N/A</v>
      </c>
      <c r="D158" s="99" t="s">
        <v>1493</v>
      </c>
      <c r="E158" s="99" t="s">
        <v>1494</v>
      </c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ht="14.25" customHeight="1">
      <c r="A159" s="97">
        <f t="shared" si="2"/>
        <v>156</v>
      </c>
      <c r="B159" s="99" t="s">
        <v>1495</v>
      </c>
      <c r="C159" s="97" t="str">
        <f t="shared" si="1"/>
        <v>#N/A</v>
      </c>
      <c r="D159" s="99" t="s">
        <v>1496</v>
      </c>
      <c r="E159" s="99" t="s">
        <v>1497</v>
      </c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ht="14.25" customHeight="1">
      <c r="A160" s="97">
        <f t="shared" si="2"/>
        <v>157</v>
      </c>
      <c r="B160" s="99" t="s">
        <v>1498</v>
      </c>
      <c r="C160" s="97" t="str">
        <f t="shared" si="1"/>
        <v>#N/A</v>
      </c>
      <c r="D160" s="99" t="s">
        <v>1499</v>
      </c>
      <c r="E160" s="99" t="s">
        <v>1500</v>
      </c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ht="14.25" customHeight="1">
      <c r="A161" s="97">
        <f t="shared" si="2"/>
        <v>158</v>
      </c>
      <c r="B161" s="99">
        <v>4.0222345098E10</v>
      </c>
      <c r="C161" s="97" t="str">
        <f t="shared" si="1"/>
        <v>#N/A</v>
      </c>
      <c r="D161" s="99" t="s">
        <v>1501</v>
      </c>
      <c r="E161" s="99" t="s">
        <v>1502</v>
      </c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ht="14.25" customHeight="1">
      <c r="A162" s="97">
        <f t="shared" si="2"/>
        <v>159</v>
      </c>
      <c r="B162" s="99" t="s">
        <v>1503</v>
      </c>
      <c r="C162" s="97" t="str">
        <f t="shared" si="1"/>
        <v>#N/A</v>
      </c>
      <c r="D162" s="99" t="s">
        <v>1504</v>
      </c>
      <c r="E162" s="99" t="s">
        <v>1505</v>
      </c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ht="14.25" customHeight="1">
      <c r="A163" s="97">
        <f t="shared" si="2"/>
        <v>160</v>
      </c>
      <c r="B163" s="99">
        <v>2.2300686296E10</v>
      </c>
      <c r="C163" s="97" t="str">
        <f t="shared" si="1"/>
        <v>#N/A</v>
      </c>
      <c r="D163" s="99" t="s">
        <v>1506</v>
      </c>
      <c r="E163" s="99" t="s">
        <v>1507</v>
      </c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ht="14.25" customHeight="1">
      <c r="A164" s="97">
        <f t="shared" si="2"/>
        <v>161</v>
      </c>
      <c r="B164" s="99">
        <v>4.0224415576E10</v>
      </c>
      <c r="C164" s="97" t="str">
        <f t="shared" si="1"/>
        <v>#N/A</v>
      </c>
      <c r="D164" s="99" t="s">
        <v>1508</v>
      </c>
      <c r="E164" s="99" t="s">
        <v>1509</v>
      </c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ht="14.25" customHeight="1">
      <c r="A165" s="97">
        <f t="shared" si="2"/>
        <v>162</v>
      </c>
      <c r="B165" s="99">
        <v>4.0234243521E10</v>
      </c>
      <c r="C165" s="97" t="str">
        <f t="shared" si="1"/>
        <v>#N/A</v>
      </c>
      <c r="D165" s="99" t="s">
        <v>1510</v>
      </c>
      <c r="E165" s="99" t="s">
        <v>1511</v>
      </c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ht="14.25" customHeight="1">
      <c r="A166" s="97">
        <f t="shared" si="2"/>
        <v>163</v>
      </c>
      <c r="B166" s="99" t="s">
        <v>1512</v>
      </c>
      <c r="C166" s="97" t="str">
        <f t="shared" si="1"/>
        <v>#N/A</v>
      </c>
      <c r="D166" s="99" t="s">
        <v>1513</v>
      </c>
      <c r="E166" s="99" t="s">
        <v>1514</v>
      </c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ht="14.25" customHeight="1">
      <c r="A167" s="97">
        <f t="shared" si="2"/>
        <v>164</v>
      </c>
      <c r="B167" s="99" t="s">
        <v>1515</v>
      </c>
      <c r="C167" s="97" t="str">
        <f t="shared" si="1"/>
        <v>#N/A</v>
      </c>
      <c r="D167" s="99" t="s">
        <v>1516</v>
      </c>
      <c r="E167" s="99" t="s">
        <v>1517</v>
      </c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ht="14.25" customHeight="1">
      <c r="A168" s="97">
        <f t="shared" si="2"/>
        <v>165</v>
      </c>
      <c r="B168" s="99">
        <v>4.0224837845E10</v>
      </c>
      <c r="C168" s="97" t="str">
        <f t="shared" si="1"/>
        <v>#N/A</v>
      </c>
      <c r="D168" s="99" t="s">
        <v>1518</v>
      </c>
      <c r="E168" s="99" t="s">
        <v>1519</v>
      </c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ht="14.25" customHeight="1">
      <c r="A169" s="97">
        <f t="shared" si="2"/>
        <v>166</v>
      </c>
      <c r="B169" s="99" t="s">
        <v>1520</v>
      </c>
      <c r="C169" s="97" t="str">
        <f t="shared" si="1"/>
        <v>#N/A</v>
      </c>
      <c r="D169" s="99" t="s">
        <v>1521</v>
      </c>
      <c r="E169" s="99" t="s">
        <v>1522</v>
      </c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ht="14.25" customHeight="1">
      <c r="A170" s="97">
        <f t="shared" si="2"/>
        <v>167</v>
      </c>
      <c r="B170" s="99" t="s">
        <v>1523</v>
      </c>
      <c r="C170" s="97" t="str">
        <f t="shared" si="1"/>
        <v>#N/A</v>
      </c>
      <c r="D170" s="99" t="s">
        <v>1524</v>
      </c>
      <c r="E170" s="99" t="s">
        <v>1525</v>
      </c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ht="14.25" customHeight="1">
      <c r="A171" s="97">
        <f t="shared" si="2"/>
        <v>168</v>
      </c>
      <c r="B171" s="99">
        <v>1.080010146E10</v>
      </c>
      <c r="C171" s="97" t="str">
        <f t="shared" si="1"/>
        <v>#N/A</v>
      </c>
      <c r="D171" s="99" t="s">
        <v>1526</v>
      </c>
      <c r="E171" s="99" t="s">
        <v>1527</v>
      </c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ht="14.25" customHeight="1">
      <c r="A172" s="97">
        <f t="shared" si="2"/>
        <v>169</v>
      </c>
      <c r="B172" s="99" t="s">
        <v>1528</v>
      </c>
      <c r="C172" s="97" t="str">
        <f t="shared" si="1"/>
        <v>#N/A</v>
      </c>
      <c r="D172" s="99" t="s">
        <v>1529</v>
      </c>
      <c r="E172" s="99" t="s">
        <v>1530</v>
      </c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ht="14.25" customHeight="1">
      <c r="A173" s="97">
        <f t="shared" si="2"/>
        <v>170</v>
      </c>
      <c r="B173" s="99">
        <v>4.0226204226E10</v>
      </c>
      <c r="C173" s="97" t="str">
        <f t="shared" si="1"/>
        <v>#N/A</v>
      </c>
      <c r="D173" s="99" t="s">
        <v>1531</v>
      </c>
      <c r="E173" s="99" t="s">
        <v>1532</v>
      </c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ht="14.25" customHeight="1">
      <c r="A174" s="97">
        <f t="shared" si="2"/>
        <v>171</v>
      </c>
      <c r="B174" s="99" t="s">
        <v>1533</v>
      </c>
      <c r="C174" s="97" t="str">
        <f t="shared" si="1"/>
        <v>#N/A</v>
      </c>
      <c r="D174" s="99" t="s">
        <v>1534</v>
      </c>
      <c r="E174" s="99" t="s">
        <v>1535</v>
      </c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ht="14.25" customHeight="1">
      <c r="A175" s="97">
        <f t="shared" si="2"/>
        <v>172</v>
      </c>
      <c r="B175" s="99" t="s">
        <v>1536</v>
      </c>
      <c r="C175" s="97" t="str">
        <f t="shared" si="1"/>
        <v>#N/A</v>
      </c>
      <c r="D175" s="99" t="s">
        <v>1537</v>
      </c>
      <c r="E175" s="99" t="s">
        <v>1538</v>
      </c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ht="14.25" customHeight="1">
      <c r="A176" s="97">
        <f t="shared" si="2"/>
        <v>173</v>
      </c>
      <c r="B176" s="99">
        <v>2.2300157231E10</v>
      </c>
      <c r="C176" s="97" t="str">
        <f t="shared" si="1"/>
        <v>#N/A</v>
      </c>
      <c r="D176" s="99" t="s">
        <v>1539</v>
      </c>
      <c r="E176" s="99" t="s">
        <v>1540</v>
      </c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ht="14.25" customHeight="1">
      <c r="A177" s="97">
        <f t="shared" si="2"/>
        <v>174</v>
      </c>
      <c r="B177" s="99" t="s">
        <v>1541</v>
      </c>
      <c r="C177" s="97" t="str">
        <f t="shared" si="1"/>
        <v>#N/A</v>
      </c>
      <c r="D177" s="99" t="s">
        <v>1542</v>
      </c>
      <c r="E177" s="99" t="s">
        <v>1543</v>
      </c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ht="14.25" customHeight="1">
      <c r="A178" s="97">
        <f t="shared" si="2"/>
        <v>175</v>
      </c>
      <c r="B178" s="99" t="s">
        <v>1544</v>
      </c>
      <c r="C178" s="97" t="str">
        <f t="shared" si="1"/>
        <v>#N/A</v>
      </c>
      <c r="D178" s="99" t="s">
        <v>1545</v>
      </c>
      <c r="E178" s="99" t="s">
        <v>1546</v>
      </c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ht="14.25" customHeight="1">
      <c r="A179" s="97">
        <f t="shared" si="2"/>
        <v>176</v>
      </c>
      <c r="B179" s="99" t="s">
        <v>1547</v>
      </c>
      <c r="C179" s="97" t="str">
        <f t="shared" si="1"/>
        <v>#N/A</v>
      </c>
      <c r="D179" s="99" t="s">
        <v>1548</v>
      </c>
      <c r="E179" s="99" t="s">
        <v>1549</v>
      </c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ht="14.25" customHeight="1">
      <c r="A180" s="97">
        <f t="shared" si="2"/>
        <v>177</v>
      </c>
      <c r="B180" s="99">
        <v>1.3000007156E10</v>
      </c>
      <c r="C180" s="97" t="str">
        <f t="shared" si="1"/>
        <v>#N/A</v>
      </c>
      <c r="D180" s="99" t="s">
        <v>1550</v>
      </c>
      <c r="E180" s="99" t="s">
        <v>1551</v>
      </c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ht="14.25" customHeight="1">
      <c r="A181" s="97">
        <f t="shared" si="2"/>
        <v>178</v>
      </c>
      <c r="B181" s="99">
        <v>4.0222173474E10</v>
      </c>
      <c r="C181" s="97" t="str">
        <f t="shared" si="1"/>
        <v>#N/A</v>
      </c>
      <c r="D181" s="99" t="s">
        <v>1552</v>
      </c>
      <c r="E181" s="99" t="s">
        <v>1553</v>
      </c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ht="14.25" customHeight="1">
      <c r="A182" s="97">
        <f t="shared" si="2"/>
        <v>179</v>
      </c>
      <c r="B182" s="99">
        <v>2.2301818609E10</v>
      </c>
      <c r="C182" s="97" t="str">
        <f t="shared" si="1"/>
        <v>#N/A</v>
      </c>
      <c r="D182" s="99" t="s">
        <v>1554</v>
      </c>
      <c r="E182" s="99" t="s">
        <v>1555</v>
      </c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ht="14.25" customHeight="1">
      <c r="A183" s="97">
        <f t="shared" si="2"/>
        <v>180</v>
      </c>
      <c r="B183" s="99" t="s">
        <v>1556</v>
      </c>
      <c r="C183" s="97" t="str">
        <f t="shared" si="1"/>
        <v>#N/A</v>
      </c>
      <c r="D183" s="99" t="s">
        <v>1557</v>
      </c>
      <c r="E183" s="99" t="s">
        <v>1558</v>
      </c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ht="14.25" customHeight="1">
      <c r="A184" s="97">
        <f t="shared" si="2"/>
        <v>181</v>
      </c>
      <c r="B184" s="99">
        <v>2.2301740431E10</v>
      </c>
      <c r="C184" s="97" t="str">
        <f t="shared" si="1"/>
        <v>#N/A</v>
      </c>
      <c r="D184" s="99" t="s">
        <v>1559</v>
      </c>
      <c r="E184" s="99" t="s">
        <v>1560</v>
      </c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ht="14.25" customHeight="1">
      <c r="A185" s="97">
        <f t="shared" si="2"/>
        <v>182</v>
      </c>
      <c r="B185" s="99">
        <v>2.23011008E10</v>
      </c>
      <c r="C185" s="97" t="str">
        <f t="shared" si="1"/>
        <v>#N/A</v>
      </c>
      <c r="D185" s="99" t="s">
        <v>1561</v>
      </c>
      <c r="E185" s="99" t="s">
        <v>1562</v>
      </c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ht="14.25" customHeight="1">
      <c r="A186" s="97">
        <f t="shared" si="2"/>
        <v>183</v>
      </c>
      <c r="B186" s="99" t="s">
        <v>1563</v>
      </c>
      <c r="C186" s="97" t="str">
        <f t="shared" si="1"/>
        <v>#N/A</v>
      </c>
      <c r="D186" s="99" t="s">
        <v>1564</v>
      </c>
      <c r="E186" s="99" t="s">
        <v>1565</v>
      </c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ht="14.25" customHeight="1">
      <c r="A187" s="97">
        <f t="shared" si="2"/>
        <v>184</v>
      </c>
      <c r="B187" s="99">
        <v>2.2301014084E10</v>
      </c>
      <c r="C187" s="97" t="str">
        <f t="shared" si="1"/>
        <v>#N/A</v>
      </c>
      <c r="D187" s="99" t="s">
        <v>1566</v>
      </c>
      <c r="E187" s="99" t="s">
        <v>1567</v>
      </c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ht="14.25" customHeight="1">
      <c r="A188" s="97">
        <f t="shared" si="2"/>
        <v>185</v>
      </c>
      <c r="B188" s="99">
        <v>2.2301328682E10</v>
      </c>
      <c r="C188" s="97" t="str">
        <f t="shared" si="1"/>
        <v>#N/A</v>
      </c>
      <c r="D188" s="99" t="s">
        <v>1568</v>
      </c>
      <c r="E188" s="99" t="s">
        <v>1569</v>
      </c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ht="14.25" customHeight="1">
      <c r="A189" s="97">
        <f t="shared" si="2"/>
        <v>186</v>
      </c>
      <c r="B189" s="99" t="s">
        <v>1570</v>
      </c>
      <c r="C189" s="97" t="str">
        <f t="shared" si="1"/>
        <v>#N/A</v>
      </c>
      <c r="D189" s="99" t="s">
        <v>1571</v>
      </c>
      <c r="E189" s="99" t="s">
        <v>1572</v>
      </c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ht="14.25" customHeight="1">
      <c r="A190" s="97">
        <f t="shared" si="2"/>
        <v>187</v>
      </c>
      <c r="B190" s="99">
        <v>4.0223042843E10</v>
      </c>
      <c r="C190" s="97" t="str">
        <f t="shared" si="1"/>
        <v>#N/A</v>
      </c>
      <c r="D190" s="99" t="s">
        <v>1573</v>
      </c>
      <c r="E190" s="99" t="s">
        <v>1574</v>
      </c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ht="14.25" customHeight="1">
      <c r="A191" s="97">
        <f t="shared" si="2"/>
        <v>188</v>
      </c>
      <c r="B191" s="99">
        <v>4.0238994269E10</v>
      </c>
      <c r="C191" s="97" t="str">
        <f t="shared" si="1"/>
        <v>#N/A</v>
      </c>
      <c r="D191" s="99" t="s">
        <v>1575</v>
      </c>
      <c r="E191" s="99" t="s">
        <v>1576</v>
      </c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ht="14.25" customHeight="1">
      <c r="A192" s="97">
        <f t="shared" si="2"/>
        <v>189</v>
      </c>
      <c r="B192" s="99" t="s">
        <v>1577</v>
      </c>
      <c r="C192" s="97" t="str">
        <f t="shared" si="1"/>
        <v>#N/A</v>
      </c>
      <c r="D192" s="99" t="s">
        <v>1471</v>
      </c>
      <c r="E192" s="99" t="s">
        <v>1578</v>
      </c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ht="14.25" customHeight="1">
      <c r="A193" s="97">
        <f t="shared" si="2"/>
        <v>190</v>
      </c>
      <c r="B193" s="99">
        <v>4.0222414167E10</v>
      </c>
      <c r="C193" s="97" t="str">
        <f t="shared" si="1"/>
        <v>#N/A</v>
      </c>
      <c r="D193" s="99" t="s">
        <v>1579</v>
      </c>
      <c r="E193" s="99" t="s">
        <v>1580</v>
      </c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ht="14.25" customHeight="1">
      <c r="A194" s="97">
        <f t="shared" si="2"/>
        <v>191</v>
      </c>
      <c r="B194" s="99">
        <v>4.0239475144E10</v>
      </c>
      <c r="C194" s="97" t="str">
        <f t="shared" si="1"/>
        <v>#N/A</v>
      </c>
      <c r="D194" s="99" t="s">
        <v>1581</v>
      </c>
      <c r="E194" s="99" t="s">
        <v>1582</v>
      </c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ht="14.25" customHeight="1">
      <c r="A195" s="97">
        <f t="shared" si="2"/>
        <v>192</v>
      </c>
      <c r="B195" s="99" t="s">
        <v>1583</v>
      </c>
      <c r="C195" s="97" t="str">
        <f t="shared" si="1"/>
        <v>#N/A</v>
      </c>
      <c r="D195" s="99" t="s">
        <v>1584</v>
      </c>
      <c r="E195" s="99" t="s">
        <v>1585</v>
      </c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ht="14.25" customHeight="1">
      <c r="A196" s="97">
        <f t="shared" si="2"/>
        <v>193</v>
      </c>
      <c r="B196" s="99">
        <v>2.2300644485E10</v>
      </c>
      <c r="C196" s="97" t="str">
        <f t="shared" si="1"/>
        <v>#N/A</v>
      </c>
      <c r="D196" s="99" t="s">
        <v>1586</v>
      </c>
      <c r="E196" s="99" t="s">
        <v>1587</v>
      </c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ht="14.25" customHeight="1">
      <c r="A197" s="97">
        <f t="shared" si="2"/>
        <v>194</v>
      </c>
      <c r="B197" s="99">
        <v>4.0237184953E10</v>
      </c>
      <c r="C197" s="97" t="str">
        <f t="shared" si="1"/>
        <v>#N/A</v>
      </c>
      <c r="D197" s="99" t="s">
        <v>1588</v>
      </c>
      <c r="E197" s="99" t="s">
        <v>1589</v>
      </c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ht="14.25" customHeight="1">
      <c r="A198" s="97">
        <f t="shared" si="2"/>
        <v>195</v>
      </c>
      <c r="B198" s="99">
        <v>4.0223469475E10</v>
      </c>
      <c r="C198" s="97" t="str">
        <f t="shared" si="1"/>
        <v>#N/A</v>
      </c>
      <c r="D198" s="99" t="s">
        <v>1590</v>
      </c>
      <c r="E198" s="99" t="s">
        <v>1591</v>
      </c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ht="14.25" customHeight="1">
      <c r="A199" s="97">
        <f t="shared" si="2"/>
        <v>196</v>
      </c>
      <c r="B199" s="99">
        <v>4.0222352904E10</v>
      </c>
      <c r="C199" s="97" t="str">
        <f t="shared" si="1"/>
        <v>#N/A</v>
      </c>
      <c r="D199" s="99" t="s">
        <v>1592</v>
      </c>
      <c r="E199" s="99" t="s">
        <v>1593</v>
      </c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ht="14.25" customHeight="1">
      <c r="A200" s="97">
        <f t="shared" si="2"/>
        <v>197</v>
      </c>
      <c r="B200" s="99" t="s">
        <v>1594</v>
      </c>
      <c r="C200" s="97" t="str">
        <f t="shared" si="1"/>
        <v>#N/A</v>
      </c>
      <c r="D200" s="99" t="s">
        <v>1595</v>
      </c>
      <c r="E200" s="99" t="s">
        <v>1596</v>
      </c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ht="14.25" customHeight="1">
      <c r="A201" s="97">
        <f t="shared" si="2"/>
        <v>198</v>
      </c>
      <c r="B201" s="99" t="s">
        <v>1597</v>
      </c>
      <c r="C201" s="97" t="str">
        <f t="shared" si="1"/>
        <v>#N/A</v>
      </c>
      <c r="D201" s="99" t="s">
        <v>1598</v>
      </c>
      <c r="E201" s="99" t="s">
        <v>1599</v>
      </c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ht="14.25" customHeight="1">
      <c r="A202" s="97">
        <f t="shared" si="2"/>
        <v>199</v>
      </c>
      <c r="B202" s="99" t="s">
        <v>1600</v>
      </c>
      <c r="C202" s="97" t="str">
        <f t="shared" si="1"/>
        <v>#N/A</v>
      </c>
      <c r="D202" s="99" t="s">
        <v>1601</v>
      </c>
      <c r="E202" s="99" t="s">
        <v>1602</v>
      </c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ht="14.25" customHeight="1">
      <c r="A203" s="97">
        <f t="shared" si="2"/>
        <v>200</v>
      </c>
      <c r="B203" s="99">
        <v>4.0224986006E10</v>
      </c>
      <c r="C203" s="97" t="str">
        <f t="shared" si="1"/>
        <v>#N/A</v>
      </c>
      <c r="D203" s="99" t="s">
        <v>1603</v>
      </c>
      <c r="E203" s="99" t="s">
        <v>1604</v>
      </c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ht="14.25" customHeight="1">
      <c r="A204" s="97">
        <f t="shared" si="2"/>
        <v>201</v>
      </c>
      <c r="B204" s="99" t="s">
        <v>1605</v>
      </c>
      <c r="C204" s="97" t="str">
        <f t="shared" si="1"/>
        <v>#N/A</v>
      </c>
      <c r="D204" s="99" t="s">
        <v>1606</v>
      </c>
      <c r="E204" s="99" t="s">
        <v>1607</v>
      </c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ht="14.25" customHeight="1">
      <c r="A205" s="97">
        <f t="shared" si="2"/>
        <v>202</v>
      </c>
      <c r="B205" s="99" t="s">
        <v>1608</v>
      </c>
      <c r="C205" s="97" t="str">
        <f t="shared" si="1"/>
        <v>#N/A</v>
      </c>
      <c r="D205" s="99" t="s">
        <v>1609</v>
      </c>
      <c r="E205" s="99" t="s">
        <v>1610</v>
      </c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ht="14.25" customHeight="1">
      <c r="A206" s="97">
        <f t="shared" si="2"/>
        <v>203</v>
      </c>
      <c r="B206" s="99" t="s">
        <v>1611</v>
      </c>
      <c r="C206" s="97" t="str">
        <f t="shared" si="1"/>
        <v>#N/A</v>
      </c>
      <c r="D206" s="99" t="s">
        <v>1118</v>
      </c>
      <c r="E206" s="99" t="s">
        <v>1612</v>
      </c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ht="14.25" customHeight="1">
      <c r="A207" s="97">
        <f t="shared" si="2"/>
        <v>204</v>
      </c>
      <c r="B207" s="99">
        <v>4.0221504943E10</v>
      </c>
      <c r="C207" s="97" t="str">
        <f t="shared" si="1"/>
        <v>#N/A</v>
      </c>
      <c r="D207" s="99" t="s">
        <v>1613</v>
      </c>
      <c r="E207" s="99" t="s">
        <v>1614</v>
      </c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ht="14.25" customHeight="1">
      <c r="A208" s="97">
        <f t="shared" si="2"/>
        <v>205</v>
      </c>
      <c r="B208" s="99">
        <v>4.0214257541E10</v>
      </c>
      <c r="C208" s="97" t="str">
        <f t="shared" si="1"/>
        <v>#N/A</v>
      </c>
      <c r="D208" s="99" t="s">
        <v>1615</v>
      </c>
      <c r="E208" s="99" t="s">
        <v>1616</v>
      </c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ht="14.25" customHeight="1">
      <c r="A209" s="97">
        <f t="shared" si="2"/>
        <v>206</v>
      </c>
      <c r="B209" s="99">
        <v>4.0225776828E10</v>
      </c>
      <c r="C209" s="97" t="str">
        <f t="shared" si="1"/>
        <v>#N/A</v>
      </c>
      <c r="D209" s="99" t="s">
        <v>1617</v>
      </c>
      <c r="E209" s="99" t="s">
        <v>1618</v>
      </c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ht="14.25" customHeight="1">
      <c r="A210" s="97">
        <f t="shared" si="2"/>
        <v>207</v>
      </c>
      <c r="B210" s="99">
        <v>2.2500541531E10</v>
      </c>
      <c r="C210" s="97" t="str">
        <f t="shared" si="1"/>
        <v>#N/A</v>
      </c>
      <c r="D210" s="99" t="s">
        <v>1619</v>
      </c>
      <c r="E210" s="99" t="s">
        <v>1620</v>
      </c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ht="14.25" customHeight="1">
      <c r="A211" s="97">
        <f t="shared" si="2"/>
        <v>208</v>
      </c>
      <c r="B211" s="99">
        <v>4.0238710194E10</v>
      </c>
      <c r="C211" s="97" t="str">
        <f t="shared" si="1"/>
        <v>#N/A</v>
      </c>
      <c r="D211" s="99" t="s">
        <v>1621</v>
      </c>
      <c r="E211" s="99" t="s">
        <v>1622</v>
      </c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ht="14.25" customHeight="1">
      <c r="A212" s="97">
        <f t="shared" si="2"/>
        <v>209</v>
      </c>
      <c r="B212" s="99" t="s">
        <v>1623</v>
      </c>
      <c r="C212" s="97" t="str">
        <f t="shared" si="1"/>
        <v>#N/A</v>
      </c>
      <c r="D212" s="99" t="s">
        <v>1624</v>
      </c>
      <c r="E212" s="99" t="s">
        <v>1625</v>
      </c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ht="14.25" customHeight="1">
      <c r="A213" s="97">
        <f t="shared" si="2"/>
        <v>210</v>
      </c>
      <c r="B213" s="99" t="s">
        <v>1626</v>
      </c>
      <c r="C213" s="97" t="str">
        <f t="shared" si="1"/>
        <v>#N/A</v>
      </c>
      <c r="D213" s="99" t="s">
        <v>1627</v>
      </c>
      <c r="E213" s="99" t="s">
        <v>1628</v>
      </c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ht="14.25" customHeight="1">
      <c r="A214" s="97">
        <f t="shared" si="2"/>
        <v>211</v>
      </c>
      <c r="B214" s="99">
        <v>4.0226223663E10</v>
      </c>
      <c r="C214" s="97" t="str">
        <f t="shared" si="1"/>
        <v>#N/A</v>
      </c>
      <c r="D214" s="99" t="s">
        <v>1629</v>
      </c>
      <c r="E214" s="99" t="s">
        <v>1630</v>
      </c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ht="14.25" customHeight="1">
      <c r="A215" s="97">
        <f t="shared" si="2"/>
        <v>212</v>
      </c>
      <c r="B215" s="99">
        <v>4.0214255669E10</v>
      </c>
      <c r="C215" s="97" t="str">
        <f t="shared" si="1"/>
        <v>#N/A</v>
      </c>
      <c r="D215" s="99" t="s">
        <v>1631</v>
      </c>
      <c r="E215" s="99" t="s">
        <v>1632</v>
      </c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ht="14.25" customHeight="1">
      <c r="A216" s="97">
        <f t="shared" si="2"/>
        <v>213</v>
      </c>
      <c r="B216" s="99" t="s">
        <v>1633</v>
      </c>
      <c r="C216" s="97" t="str">
        <f t="shared" si="1"/>
        <v>#N/A</v>
      </c>
      <c r="D216" s="99" t="s">
        <v>1634</v>
      </c>
      <c r="E216" s="99" t="s">
        <v>1635</v>
      </c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ht="14.25" customHeight="1">
      <c r="A217" s="97">
        <f t="shared" si="2"/>
        <v>214</v>
      </c>
      <c r="B217" s="99" t="s">
        <v>1636</v>
      </c>
      <c r="C217" s="97" t="str">
        <f t="shared" si="1"/>
        <v>#N/A</v>
      </c>
      <c r="D217" s="99" t="s">
        <v>1637</v>
      </c>
      <c r="E217" s="99" t="s">
        <v>1638</v>
      </c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ht="14.25" customHeight="1">
      <c r="A218" s="97">
        <f t="shared" si="2"/>
        <v>215</v>
      </c>
      <c r="B218" s="99" t="s">
        <v>1639</v>
      </c>
      <c r="C218" s="97" t="str">
        <f t="shared" si="1"/>
        <v>#N/A</v>
      </c>
      <c r="D218" s="99" t="s">
        <v>1640</v>
      </c>
      <c r="E218" s="99" t="s">
        <v>1641</v>
      </c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ht="14.25" customHeight="1">
      <c r="A219" s="97">
        <f t="shared" si="2"/>
        <v>216</v>
      </c>
      <c r="B219" s="99">
        <v>4.0200485908E10</v>
      </c>
      <c r="C219" s="97" t="str">
        <f t="shared" si="1"/>
        <v>#N/A</v>
      </c>
      <c r="D219" s="99" t="s">
        <v>1642</v>
      </c>
      <c r="E219" s="99" t="s">
        <v>1643</v>
      </c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ht="14.25" customHeight="1">
      <c r="A220" s="97">
        <f t="shared" si="2"/>
        <v>217</v>
      </c>
      <c r="B220" s="99" t="s">
        <v>1644</v>
      </c>
      <c r="C220" s="97" t="str">
        <f t="shared" si="1"/>
        <v>#N/A</v>
      </c>
      <c r="D220" s="99" t="s">
        <v>1645</v>
      </c>
      <c r="E220" s="99" t="s">
        <v>1646</v>
      </c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ht="14.25" customHeight="1">
      <c r="A221" s="97">
        <f t="shared" si="2"/>
        <v>218</v>
      </c>
      <c r="B221" s="99">
        <v>2.2301011544E10</v>
      </c>
      <c r="C221" s="97" t="str">
        <f t="shared" si="1"/>
        <v>#N/A</v>
      </c>
      <c r="D221" s="99" t="s">
        <v>1647</v>
      </c>
      <c r="E221" s="99" t="s">
        <v>1648</v>
      </c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ht="14.25" customHeight="1">
      <c r="A222" s="97">
        <f t="shared" si="2"/>
        <v>219</v>
      </c>
      <c r="B222" s="99" t="s">
        <v>1649</v>
      </c>
      <c r="C222" s="97" t="str">
        <f t="shared" si="1"/>
        <v>#N/A</v>
      </c>
      <c r="D222" s="99" t="s">
        <v>1650</v>
      </c>
      <c r="E222" s="99" t="s">
        <v>1651</v>
      </c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ht="14.25" customHeight="1">
      <c r="A223" s="97">
        <f t="shared" si="2"/>
        <v>220</v>
      </c>
      <c r="B223" s="99" t="s">
        <v>1652</v>
      </c>
      <c r="C223" s="97" t="str">
        <f t="shared" si="1"/>
        <v>#N/A</v>
      </c>
      <c r="D223" s="99" t="s">
        <v>1653</v>
      </c>
      <c r="E223" s="99" t="s">
        <v>1654</v>
      </c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ht="14.25" customHeight="1">
      <c r="A224" s="97">
        <f t="shared" si="2"/>
        <v>221</v>
      </c>
      <c r="B224" s="99">
        <v>4.0232270146E10</v>
      </c>
      <c r="C224" s="97" t="str">
        <f t="shared" si="1"/>
        <v>#N/A</v>
      </c>
      <c r="D224" s="99" t="s">
        <v>1655</v>
      </c>
      <c r="E224" s="99" t="s">
        <v>1656</v>
      </c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ht="14.25" customHeight="1">
      <c r="A225" s="97">
        <f t="shared" si="2"/>
        <v>222</v>
      </c>
      <c r="B225" s="99">
        <v>2.2300038282E10</v>
      </c>
      <c r="C225" s="97" t="str">
        <f t="shared" si="1"/>
        <v>#N/A</v>
      </c>
      <c r="D225" s="99" t="s">
        <v>1657</v>
      </c>
      <c r="E225" s="99" t="s">
        <v>1181</v>
      </c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ht="14.25" customHeight="1">
      <c r="A226" s="97">
        <f t="shared" si="2"/>
        <v>223</v>
      </c>
      <c r="B226" s="99">
        <v>2.2301397901E10</v>
      </c>
      <c r="C226" s="97" t="str">
        <f t="shared" si="1"/>
        <v>#N/A</v>
      </c>
      <c r="D226" s="99" t="s">
        <v>1173</v>
      </c>
      <c r="E226" s="99" t="s">
        <v>1658</v>
      </c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ht="14.25" customHeight="1">
      <c r="A227" s="97">
        <f t="shared" si="2"/>
        <v>224</v>
      </c>
      <c r="B227" s="99">
        <v>4.0222104586E10</v>
      </c>
      <c r="C227" s="97" t="str">
        <f t="shared" si="1"/>
        <v>#N/A</v>
      </c>
      <c r="D227" s="99" t="s">
        <v>1659</v>
      </c>
      <c r="E227" s="99" t="s">
        <v>1660</v>
      </c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ht="14.25" customHeight="1">
      <c r="A228" s="97">
        <f t="shared" si="2"/>
        <v>225</v>
      </c>
      <c r="B228" s="99" t="s">
        <v>1661</v>
      </c>
      <c r="C228" s="97" t="str">
        <f t="shared" si="1"/>
        <v>#N/A</v>
      </c>
      <c r="D228" s="99" t="s">
        <v>1662</v>
      </c>
      <c r="E228" s="99" t="s">
        <v>1663</v>
      </c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ht="14.25" customHeight="1">
      <c r="A229" s="97">
        <f t="shared" si="2"/>
        <v>226</v>
      </c>
      <c r="B229" s="99">
        <v>4.022085358E10</v>
      </c>
      <c r="C229" s="97" t="str">
        <f t="shared" si="1"/>
        <v>#N/A</v>
      </c>
      <c r="D229" s="99" t="s">
        <v>1664</v>
      </c>
      <c r="E229" s="99" t="s">
        <v>1665</v>
      </c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ht="14.25" customHeight="1">
      <c r="A230" s="97">
        <f t="shared" si="2"/>
        <v>227</v>
      </c>
      <c r="B230" s="99" t="s">
        <v>1666</v>
      </c>
      <c r="C230" s="97" t="str">
        <f t="shared" si="1"/>
        <v>#N/A</v>
      </c>
      <c r="D230" s="99" t="s">
        <v>1667</v>
      </c>
      <c r="E230" s="99" t="s">
        <v>1668</v>
      </c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ht="14.25" customHeight="1">
      <c r="A231" s="97">
        <f t="shared" si="2"/>
        <v>228</v>
      </c>
      <c r="B231" s="99">
        <v>4.0223858636E10</v>
      </c>
      <c r="C231" s="97" t="str">
        <f t="shared" si="1"/>
        <v>#N/A</v>
      </c>
      <c r="D231" s="99" t="s">
        <v>1669</v>
      </c>
      <c r="E231" s="99" t="s">
        <v>1670</v>
      </c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ht="14.25" customHeight="1">
      <c r="A232" s="97">
        <f t="shared" si="2"/>
        <v>229</v>
      </c>
      <c r="B232" s="99">
        <v>2.230047376E10</v>
      </c>
      <c r="C232" s="97" t="str">
        <f t="shared" si="1"/>
        <v>#N/A</v>
      </c>
      <c r="D232" s="99" t="s">
        <v>1671</v>
      </c>
      <c r="E232" s="99" t="s">
        <v>1672</v>
      </c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ht="14.25" customHeight="1">
      <c r="A233" s="97">
        <f t="shared" si="2"/>
        <v>230</v>
      </c>
      <c r="B233" s="99">
        <v>4.0225088182E10</v>
      </c>
      <c r="C233" s="97" t="str">
        <f t="shared" si="1"/>
        <v>#N/A</v>
      </c>
      <c r="D233" s="99" t="s">
        <v>1673</v>
      </c>
      <c r="E233" s="99" t="s">
        <v>1674</v>
      </c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ht="14.25" customHeight="1">
      <c r="A234" s="97">
        <f t="shared" si="2"/>
        <v>231</v>
      </c>
      <c r="B234" s="99">
        <v>2.2300846858E10</v>
      </c>
      <c r="C234" s="97" t="str">
        <f t="shared" si="1"/>
        <v>#N/A</v>
      </c>
      <c r="D234" s="99" t="s">
        <v>1675</v>
      </c>
      <c r="E234" s="99" t="s">
        <v>1676</v>
      </c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ht="14.25" customHeight="1">
      <c r="A235" s="97">
        <f t="shared" si="2"/>
        <v>232</v>
      </c>
      <c r="B235" s="99" t="s">
        <v>1677</v>
      </c>
      <c r="C235" s="97" t="str">
        <f t="shared" si="1"/>
        <v>#N/A</v>
      </c>
      <c r="D235" s="99" t="s">
        <v>1678</v>
      </c>
      <c r="E235" s="99" t="s">
        <v>1679</v>
      </c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ht="14.25" customHeight="1">
      <c r="A236" s="97">
        <f t="shared" si="2"/>
        <v>233</v>
      </c>
      <c r="B236" s="99">
        <v>2.2301531103E10</v>
      </c>
      <c r="C236" s="97" t="str">
        <f t="shared" si="1"/>
        <v>#N/A</v>
      </c>
      <c r="D236" s="99" t="s">
        <v>1680</v>
      </c>
      <c r="E236" s="99" t="s">
        <v>1681</v>
      </c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ht="14.25" customHeight="1">
      <c r="A237" s="97">
        <f t="shared" si="2"/>
        <v>234</v>
      </c>
      <c r="B237" s="99">
        <v>4.0225229927E10</v>
      </c>
      <c r="C237" s="97" t="str">
        <f t="shared" si="1"/>
        <v>#N/A</v>
      </c>
      <c r="D237" s="99" t="s">
        <v>1682</v>
      </c>
      <c r="E237" s="99" t="s">
        <v>1683</v>
      </c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ht="14.25" customHeight="1">
      <c r="A238" s="97">
        <f t="shared" si="2"/>
        <v>235</v>
      </c>
      <c r="B238" s="99">
        <v>4.0223530599E10</v>
      </c>
      <c r="C238" s="97" t="str">
        <f t="shared" si="1"/>
        <v>#N/A</v>
      </c>
      <c r="D238" s="99" t="s">
        <v>1684</v>
      </c>
      <c r="E238" s="99" t="s">
        <v>1685</v>
      </c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ht="14.25" customHeight="1">
      <c r="A239" s="97">
        <f t="shared" si="2"/>
        <v>236</v>
      </c>
      <c r="B239" s="99">
        <v>4.0215712874E10</v>
      </c>
      <c r="C239" s="97" t="str">
        <f t="shared" si="1"/>
        <v>#N/A</v>
      </c>
      <c r="D239" s="99" t="s">
        <v>1686</v>
      </c>
      <c r="E239" s="99" t="s">
        <v>1687</v>
      </c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ht="14.25" customHeight="1">
      <c r="A240" s="97">
        <f t="shared" si="2"/>
        <v>237</v>
      </c>
      <c r="B240" s="99">
        <v>4.022526291E10</v>
      </c>
      <c r="C240" s="97" t="str">
        <f t="shared" si="1"/>
        <v>#N/A</v>
      </c>
      <c r="D240" s="99" t="s">
        <v>1688</v>
      </c>
      <c r="E240" s="99" t="s">
        <v>1689</v>
      </c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ht="14.25" customHeight="1">
      <c r="A241" s="97">
        <f t="shared" si="2"/>
        <v>238</v>
      </c>
      <c r="B241" s="99">
        <v>4.0227086333E10</v>
      </c>
      <c r="C241" s="97" t="str">
        <f t="shared" si="1"/>
        <v>#N/A</v>
      </c>
      <c r="D241" s="99" t="s">
        <v>1690</v>
      </c>
      <c r="E241" s="99" t="s">
        <v>1691</v>
      </c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ht="14.25" customHeight="1">
      <c r="A242" s="97">
        <f t="shared" si="2"/>
        <v>239</v>
      </c>
      <c r="B242" s="99" t="s">
        <v>1692</v>
      </c>
      <c r="C242" s="97" t="str">
        <f t="shared" si="1"/>
        <v>#N/A</v>
      </c>
      <c r="D242" s="99" t="s">
        <v>1693</v>
      </c>
      <c r="E242" s="99" t="s">
        <v>1694</v>
      </c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ht="14.25" customHeight="1">
      <c r="A243" s="97">
        <f t="shared" si="2"/>
        <v>240</v>
      </c>
      <c r="B243" s="99" t="s">
        <v>1695</v>
      </c>
      <c r="C243" s="97" t="str">
        <f t="shared" si="1"/>
        <v>#N/A</v>
      </c>
      <c r="D243" s="99" t="s">
        <v>1696</v>
      </c>
      <c r="E243" s="99" t="s">
        <v>1697</v>
      </c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ht="14.25" customHeight="1">
      <c r="A244" s="97">
        <f t="shared" si="2"/>
        <v>241</v>
      </c>
      <c r="B244" s="99" t="s">
        <v>1698</v>
      </c>
      <c r="C244" s="97" t="str">
        <f t="shared" si="1"/>
        <v>#N/A</v>
      </c>
      <c r="D244" s="99" t="s">
        <v>1699</v>
      </c>
      <c r="E244" s="99" t="s">
        <v>1700</v>
      </c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ht="14.25" customHeight="1">
      <c r="A245" s="97">
        <f t="shared" si="2"/>
        <v>242</v>
      </c>
      <c r="B245" s="99" t="s">
        <v>1701</v>
      </c>
      <c r="C245" s="97" t="str">
        <f t="shared" si="1"/>
        <v>#N/A</v>
      </c>
      <c r="D245" s="99" t="s">
        <v>1702</v>
      </c>
      <c r="E245" s="99" t="s">
        <v>1703</v>
      </c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ht="14.25" customHeight="1">
      <c r="A246" s="97">
        <f t="shared" si="2"/>
        <v>243</v>
      </c>
      <c r="B246" s="99" t="s">
        <v>1704</v>
      </c>
      <c r="C246" s="97" t="str">
        <f t="shared" si="1"/>
        <v>#N/A</v>
      </c>
      <c r="D246" s="99" t="s">
        <v>1705</v>
      </c>
      <c r="E246" s="99" t="s">
        <v>1706</v>
      </c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ht="14.25" customHeight="1">
      <c r="A247" s="97">
        <f t="shared" si="2"/>
        <v>244</v>
      </c>
      <c r="B247" s="99">
        <v>4.0223931466E10</v>
      </c>
      <c r="C247" s="97" t="str">
        <f t="shared" si="1"/>
        <v>#N/A</v>
      </c>
      <c r="D247" s="99" t="s">
        <v>1707</v>
      </c>
      <c r="E247" s="99" t="s">
        <v>1708</v>
      </c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ht="14.25" customHeight="1">
      <c r="A248" s="97">
        <f t="shared" si="2"/>
        <v>245</v>
      </c>
      <c r="B248" s="99" t="s">
        <v>1709</v>
      </c>
      <c r="C248" s="97" t="str">
        <f t="shared" si="1"/>
        <v>#N/A</v>
      </c>
      <c r="D248" s="99" t="s">
        <v>1710</v>
      </c>
      <c r="E248" s="99" t="s">
        <v>1711</v>
      </c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ht="14.25" customHeight="1">
      <c r="A249" s="97">
        <f t="shared" si="2"/>
        <v>246</v>
      </c>
      <c r="B249" s="99">
        <v>2.2300426388E10</v>
      </c>
      <c r="C249" s="97" t="str">
        <f t="shared" si="1"/>
        <v>#N/A</v>
      </c>
      <c r="D249" s="99" t="s">
        <v>1712</v>
      </c>
      <c r="E249" s="99" t="s">
        <v>1713</v>
      </c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ht="14.25" customHeight="1">
      <c r="A250" s="97">
        <f t="shared" si="2"/>
        <v>247</v>
      </c>
      <c r="B250" s="99" t="s">
        <v>1714</v>
      </c>
      <c r="C250" s="97" t="str">
        <f t="shared" si="1"/>
        <v>#N/A</v>
      </c>
      <c r="D250" s="99" t="s">
        <v>1715</v>
      </c>
      <c r="E250" s="99" t="s">
        <v>1716</v>
      </c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ht="14.25" customHeight="1">
      <c r="A251" s="97">
        <f t="shared" si="2"/>
        <v>248</v>
      </c>
      <c r="B251" s="99" t="s">
        <v>1717</v>
      </c>
      <c r="C251" s="97" t="str">
        <f t="shared" si="1"/>
        <v>#N/A</v>
      </c>
      <c r="D251" s="99" t="s">
        <v>1718</v>
      </c>
      <c r="E251" s="99" t="s">
        <v>1719</v>
      </c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ht="14.25" customHeight="1">
      <c r="A252" s="97">
        <f t="shared" si="2"/>
        <v>249</v>
      </c>
      <c r="B252" s="99" t="s">
        <v>1720</v>
      </c>
      <c r="C252" s="97" t="str">
        <f t="shared" si="1"/>
        <v>#N/A</v>
      </c>
      <c r="D252" s="99" t="s">
        <v>1721</v>
      </c>
      <c r="E252" s="99" t="s">
        <v>1722</v>
      </c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ht="14.25" customHeight="1">
      <c r="A253" s="97">
        <f t="shared" si="2"/>
        <v>250</v>
      </c>
      <c r="B253" s="99" t="s">
        <v>1723</v>
      </c>
      <c r="C253" s="97" t="str">
        <f t="shared" si="1"/>
        <v>#N/A</v>
      </c>
      <c r="D253" s="99" t="s">
        <v>1724</v>
      </c>
      <c r="E253" s="99" t="s">
        <v>1725</v>
      </c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ht="14.25" customHeight="1">
      <c r="A254" s="97">
        <f t="shared" si="2"/>
        <v>251</v>
      </c>
      <c r="B254" s="99">
        <v>4.0200517767E10</v>
      </c>
      <c r="C254" s="97" t="str">
        <f t="shared" si="1"/>
        <v>#N/A</v>
      </c>
      <c r="D254" s="99" t="s">
        <v>1726</v>
      </c>
      <c r="E254" s="99" t="s">
        <v>1727</v>
      </c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ht="14.25" customHeight="1">
      <c r="A255" s="97">
        <f t="shared" si="2"/>
        <v>252</v>
      </c>
      <c r="B255" s="99">
        <v>4.0200741151E10</v>
      </c>
      <c r="C255" s="97" t="str">
        <f t="shared" si="1"/>
        <v>#N/A</v>
      </c>
      <c r="D255" s="99" t="s">
        <v>1728</v>
      </c>
      <c r="E255" s="99" t="s">
        <v>1729</v>
      </c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ht="14.25" customHeight="1">
      <c r="A256" s="97">
        <f t="shared" si="2"/>
        <v>253</v>
      </c>
      <c r="B256" s="99" t="s">
        <v>1730</v>
      </c>
      <c r="C256" s="97" t="str">
        <f t="shared" si="1"/>
        <v>#N/A</v>
      </c>
      <c r="D256" s="99" t="s">
        <v>1731</v>
      </c>
      <c r="E256" s="99" t="s">
        <v>1732</v>
      </c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ht="14.25" customHeight="1">
      <c r="A257" s="97">
        <f t="shared" si="2"/>
        <v>254</v>
      </c>
      <c r="B257" s="99">
        <v>4.0229166166E10</v>
      </c>
      <c r="C257" s="97" t="str">
        <f t="shared" si="1"/>
        <v>#N/A</v>
      </c>
      <c r="D257" s="99" t="s">
        <v>1733</v>
      </c>
      <c r="E257" s="99" t="s">
        <v>1734</v>
      </c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ht="14.25" customHeight="1">
      <c r="A258" s="97">
        <f t="shared" si="2"/>
        <v>255</v>
      </c>
      <c r="B258" s="99">
        <v>4.0225138391E10</v>
      </c>
      <c r="C258" s="97" t="str">
        <f t="shared" si="1"/>
        <v>#N/A</v>
      </c>
      <c r="D258" s="99" t="s">
        <v>1735</v>
      </c>
      <c r="E258" s="99" t="s">
        <v>1736</v>
      </c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ht="14.25" customHeight="1">
      <c r="A259" s="97">
        <f t="shared" si="2"/>
        <v>256</v>
      </c>
      <c r="B259" s="99">
        <v>2.2300595729E10</v>
      </c>
      <c r="C259" s="97" t="str">
        <f t="shared" si="1"/>
        <v>#N/A</v>
      </c>
      <c r="D259" s="99" t="s">
        <v>1737</v>
      </c>
      <c r="E259" s="99" t="s">
        <v>1738</v>
      </c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ht="14.25" customHeight="1">
      <c r="A260" s="97">
        <f t="shared" si="2"/>
        <v>257</v>
      </c>
      <c r="B260" s="99" t="s">
        <v>1739</v>
      </c>
      <c r="C260" s="97" t="str">
        <f t="shared" si="1"/>
        <v>#N/A</v>
      </c>
      <c r="D260" s="99" t="s">
        <v>1740</v>
      </c>
      <c r="E260" s="99" t="s">
        <v>1741</v>
      </c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ht="14.25" customHeight="1">
      <c r="A261" s="97">
        <f t="shared" si="2"/>
        <v>258</v>
      </c>
      <c r="B261" s="99" t="s">
        <v>1742</v>
      </c>
      <c r="C261" s="97" t="str">
        <f t="shared" si="1"/>
        <v>#N/A</v>
      </c>
      <c r="D261" s="99" t="s">
        <v>1743</v>
      </c>
      <c r="E261" s="99" t="s">
        <v>1744</v>
      </c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ht="14.25" customHeight="1">
      <c r="A262" s="97">
        <f t="shared" si="2"/>
        <v>259</v>
      </c>
      <c r="B262" s="99">
        <v>2.2300695214E10</v>
      </c>
      <c r="C262" s="97" t="str">
        <f t="shared" si="1"/>
        <v>#N/A</v>
      </c>
      <c r="D262" s="99" t="s">
        <v>1745</v>
      </c>
      <c r="E262" s="99" t="s">
        <v>1746</v>
      </c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ht="14.25" customHeight="1">
      <c r="A263" s="97">
        <f t="shared" si="2"/>
        <v>260</v>
      </c>
      <c r="B263" s="99">
        <v>4.0225500871E10</v>
      </c>
      <c r="C263" s="97" t="str">
        <f t="shared" si="1"/>
        <v>#N/A</v>
      </c>
      <c r="D263" s="99" t="s">
        <v>1747</v>
      </c>
      <c r="E263" s="99" t="s">
        <v>1748</v>
      </c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ht="14.25" customHeight="1">
      <c r="A264" s="97">
        <f t="shared" si="2"/>
        <v>261</v>
      </c>
      <c r="B264" s="99" t="s">
        <v>1749</v>
      </c>
      <c r="C264" s="97" t="str">
        <f t="shared" si="1"/>
        <v>#N/A</v>
      </c>
      <c r="D264" s="99" t="s">
        <v>1750</v>
      </c>
      <c r="E264" s="99" t="s">
        <v>1751</v>
      </c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ht="14.25" customHeight="1">
      <c r="A265" s="97">
        <f t="shared" si="2"/>
        <v>262</v>
      </c>
      <c r="B265" s="99">
        <v>2.2301158964E10</v>
      </c>
      <c r="C265" s="97" t="str">
        <f t="shared" si="1"/>
        <v>#N/A</v>
      </c>
      <c r="D265" s="99" t="s">
        <v>1752</v>
      </c>
      <c r="E265" s="99" t="s">
        <v>1753</v>
      </c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ht="14.25" customHeight="1">
      <c r="A266" s="97">
        <f t="shared" si="2"/>
        <v>263</v>
      </c>
      <c r="B266" s="99" t="s">
        <v>1754</v>
      </c>
      <c r="C266" s="97" t="str">
        <f t="shared" si="1"/>
        <v>#N/A</v>
      </c>
      <c r="D266" s="99" t="s">
        <v>1755</v>
      </c>
      <c r="E266" s="99" t="s">
        <v>1756</v>
      </c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ht="14.25" customHeight="1">
      <c r="A267" s="97">
        <f t="shared" si="2"/>
        <v>264</v>
      </c>
      <c r="B267" s="99" t="s">
        <v>1757</v>
      </c>
      <c r="C267" s="97" t="str">
        <f t="shared" si="1"/>
        <v>#N/A</v>
      </c>
      <c r="D267" s="99" t="s">
        <v>1758</v>
      </c>
      <c r="E267" s="99" t="s">
        <v>1759</v>
      </c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ht="14.25" customHeight="1">
      <c r="A268" s="97">
        <f t="shared" si="2"/>
        <v>265</v>
      </c>
      <c r="B268" s="99" t="s">
        <v>1760</v>
      </c>
      <c r="C268" s="97" t="str">
        <f t="shared" si="1"/>
        <v>#N/A</v>
      </c>
      <c r="D268" s="99" t="s">
        <v>1761</v>
      </c>
      <c r="E268" s="99" t="s">
        <v>1762</v>
      </c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ht="14.25" customHeight="1">
      <c r="A269" s="97">
        <f t="shared" si="2"/>
        <v>266</v>
      </c>
      <c r="B269" s="99">
        <v>2.2301105809E10</v>
      </c>
      <c r="C269" s="97" t="str">
        <f t="shared" si="1"/>
        <v>#N/A</v>
      </c>
      <c r="D269" s="99" t="s">
        <v>1763</v>
      </c>
      <c r="E269" s="99" t="s">
        <v>1764</v>
      </c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ht="14.25" customHeight="1">
      <c r="A270" s="97">
        <f t="shared" si="2"/>
        <v>267</v>
      </c>
      <c r="B270" s="99" t="s">
        <v>1765</v>
      </c>
      <c r="C270" s="97" t="str">
        <f t="shared" si="1"/>
        <v>#N/A</v>
      </c>
      <c r="D270" s="99" t="s">
        <v>1766</v>
      </c>
      <c r="E270" s="99" t="s">
        <v>1767</v>
      </c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ht="14.25" customHeight="1">
      <c r="A271" s="97">
        <f t="shared" si="2"/>
        <v>268</v>
      </c>
      <c r="B271" s="99" t="s">
        <v>1768</v>
      </c>
      <c r="C271" s="97" t="str">
        <f t="shared" si="1"/>
        <v>#N/A</v>
      </c>
      <c r="D271" s="99" t="s">
        <v>1769</v>
      </c>
      <c r="E271" s="99" t="s">
        <v>1770</v>
      </c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ht="14.25" customHeight="1">
      <c r="A272" s="97">
        <f t="shared" si="2"/>
        <v>269</v>
      </c>
      <c r="B272" s="99" t="s">
        <v>1771</v>
      </c>
      <c r="C272" s="97" t="str">
        <f t="shared" si="1"/>
        <v>#N/A</v>
      </c>
      <c r="D272" s="99" t="s">
        <v>1772</v>
      </c>
      <c r="E272" s="99" t="s">
        <v>1773</v>
      </c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ht="14.25" customHeight="1">
      <c r="A273" s="97">
        <f t="shared" si="2"/>
        <v>270</v>
      </c>
      <c r="B273" s="99" t="s">
        <v>1774</v>
      </c>
      <c r="C273" s="97" t="str">
        <f t="shared" si="1"/>
        <v>#N/A</v>
      </c>
      <c r="D273" s="99" t="s">
        <v>1775</v>
      </c>
      <c r="E273" s="99" t="s">
        <v>1776</v>
      </c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ht="14.25" customHeight="1">
      <c r="A274" s="97">
        <f t="shared" si="2"/>
        <v>271</v>
      </c>
      <c r="B274" s="99" t="s">
        <v>1777</v>
      </c>
      <c r="C274" s="97" t="str">
        <f t="shared" si="1"/>
        <v>#N/A</v>
      </c>
      <c r="D274" s="99" t="s">
        <v>1778</v>
      </c>
      <c r="E274" s="99" t="s">
        <v>1779</v>
      </c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ht="14.25" customHeight="1">
      <c r="A275" s="97">
        <f t="shared" si="2"/>
        <v>272</v>
      </c>
      <c r="B275" s="99">
        <v>4.0223793189E10</v>
      </c>
      <c r="C275" s="97" t="str">
        <f t="shared" si="1"/>
        <v>#N/A</v>
      </c>
      <c r="D275" s="99" t="s">
        <v>1780</v>
      </c>
      <c r="E275" s="99" t="s">
        <v>1781</v>
      </c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ht="14.25" customHeight="1">
      <c r="A276" s="97">
        <f t="shared" si="2"/>
        <v>273</v>
      </c>
      <c r="B276" s="99">
        <v>4.0221454156E10</v>
      </c>
      <c r="C276" s="97" t="str">
        <f t="shared" si="1"/>
        <v>#N/A</v>
      </c>
      <c r="D276" s="99" t="s">
        <v>1782</v>
      </c>
      <c r="E276" s="99" t="s">
        <v>1783</v>
      </c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ht="14.25" customHeight="1">
      <c r="A277" s="97">
        <f t="shared" si="2"/>
        <v>274</v>
      </c>
      <c r="B277" s="99">
        <v>4.0220137976E10</v>
      </c>
      <c r="C277" s="97" t="str">
        <f t="shared" si="1"/>
        <v>#N/A</v>
      </c>
      <c r="D277" s="99" t="s">
        <v>1784</v>
      </c>
      <c r="E277" s="99" t="s">
        <v>1785</v>
      </c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ht="14.25" customHeight="1">
      <c r="A278" s="97">
        <f t="shared" si="2"/>
        <v>275</v>
      </c>
      <c r="B278" s="99" t="s">
        <v>1786</v>
      </c>
      <c r="C278" s="97" t="str">
        <f t="shared" si="1"/>
        <v>#N/A</v>
      </c>
      <c r="D278" s="99" t="s">
        <v>1787</v>
      </c>
      <c r="E278" s="99" t="s">
        <v>1788</v>
      </c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ht="14.25" customHeight="1">
      <c r="A279" s="97">
        <f t="shared" si="2"/>
        <v>276</v>
      </c>
      <c r="B279" s="99">
        <v>4.0222092153E10</v>
      </c>
      <c r="C279" s="97" t="str">
        <f t="shared" si="1"/>
        <v>#N/A</v>
      </c>
      <c r="D279" s="99" t="s">
        <v>1789</v>
      </c>
      <c r="E279" s="99" t="s">
        <v>1790</v>
      </c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ht="14.25" customHeight="1">
      <c r="A280" s="97">
        <f t="shared" si="2"/>
        <v>277</v>
      </c>
      <c r="B280" s="99" t="s">
        <v>1791</v>
      </c>
      <c r="C280" s="97" t="str">
        <f t="shared" si="1"/>
        <v>#N/A</v>
      </c>
      <c r="D280" s="99" t="s">
        <v>1792</v>
      </c>
      <c r="E280" s="99" t="s">
        <v>1793</v>
      </c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ht="14.25" customHeight="1">
      <c r="A281" s="97">
        <f t="shared" si="2"/>
        <v>278</v>
      </c>
      <c r="B281" s="99" t="s">
        <v>1794</v>
      </c>
      <c r="C281" s="97" t="str">
        <f t="shared" si="1"/>
        <v>#N/A</v>
      </c>
      <c r="D281" s="99" t="s">
        <v>1795</v>
      </c>
      <c r="E281" s="99" t="s">
        <v>1796</v>
      </c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ht="14.25" customHeight="1">
      <c r="A282" s="97">
        <f t="shared" si="2"/>
        <v>279</v>
      </c>
      <c r="B282" s="99">
        <v>4.0222349389E10</v>
      </c>
      <c r="C282" s="97" t="str">
        <f t="shared" si="1"/>
        <v>#N/A</v>
      </c>
      <c r="D282" s="99" t="s">
        <v>1797</v>
      </c>
      <c r="E282" s="99" t="s">
        <v>1798</v>
      </c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ht="14.25" customHeight="1">
      <c r="A283" s="97">
        <f t="shared" si="2"/>
        <v>280</v>
      </c>
      <c r="B283" s="99" t="s">
        <v>1799</v>
      </c>
      <c r="C283" s="97" t="str">
        <f t="shared" si="1"/>
        <v>#N/A</v>
      </c>
      <c r="D283" s="99" t="s">
        <v>1800</v>
      </c>
      <c r="E283" s="99" t="s">
        <v>1801</v>
      </c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ht="14.25" customHeight="1">
      <c r="A284" s="97">
        <f t="shared" si="2"/>
        <v>281</v>
      </c>
      <c r="B284" s="99">
        <v>2.2300540493E10</v>
      </c>
      <c r="C284" s="97" t="str">
        <f t="shared" si="1"/>
        <v>#N/A</v>
      </c>
      <c r="D284" s="99" t="s">
        <v>1802</v>
      </c>
      <c r="E284" s="99" t="s">
        <v>1803</v>
      </c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ht="14.25" customHeight="1">
      <c r="A285" s="97">
        <f t="shared" si="2"/>
        <v>282</v>
      </c>
      <c r="B285" s="99">
        <v>4.0225753009E10</v>
      </c>
      <c r="C285" s="97" t="str">
        <f t="shared" si="1"/>
        <v>#N/A</v>
      </c>
      <c r="D285" s="99" t="s">
        <v>1804</v>
      </c>
      <c r="E285" s="99" t="s">
        <v>1805</v>
      </c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ht="14.25" customHeight="1">
      <c r="A286" s="97">
        <f t="shared" si="2"/>
        <v>283</v>
      </c>
      <c r="B286" s="99">
        <v>2.230022494E10</v>
      </c>
      <c r="C286" s="97" t="str">
        <f t="shared" si="1"/>
        <v>#N/A</v>
      </c>
      <c r="D286" s="99" t="s">
        <v>1806</v>
      </c>
      <c r="E286" s="99" t="s">
        <v>1807</v>
      </c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ht="14.25" customHeight="1">
      <c r="A287" s="97">
        <f t="shared" si="2"/>
        <v>284</v>
      </c>
      <c r="B287" s="99">
        <v>2.2301223552E10</v>
      </c>
      <c r="C287" s="97" t="str">
        <f t="shared" si="1"/>
        <v>#N/A</v>
      </c>
      <c r="D287" s="99" t="s">
        <v>1808</v>
      </c>
      <c r="E287" s="99" t="s">
        <v>1809</v>
      </c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ht="14.25" customHeight="1">
      <c r="A288" s="97">
        <f t="shared" si="2"/>
        <v>285</v>
      </c>
      <c r="B288" s="99">
        <v>4.020060374E10</v>
      </c>
      <c r="C288" s="97" t="str">
        <f t="shared" si="1"/>
        <v>#N/A</v>
      </c>
      <c r="D288" s="99" t="s">
        <v>1810</v>
      </c>
      <c r="E288" s="99" t="s">
        <v>1811</v>
      </c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ht="14.25" customHeight="1">
      <c r="A289" s="97">
        <f t="shared" si="2"/>
        <v>286</v>
      </c>
      <c r="B289" s="99" t="s">
        <v>1812</v>
      </c>
      <c r="C289" s="97" t="str">
        <f t="shared" si="1"/>
        <v>#N/A</v>
      </c>
      <c r="D289" s="99" t="s">
        <v>1813</v>
      </c>
      <c r="E289" s="99" t="s">
        <v>1814</v>
      </c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ht="14.25" customHeight="1">
      <c r="A290" s="97">
        <f t="shared" si="2"/>
        <v>287</v>
      </c>
      <c r="B290" s="99" t="s">
        <v>1815</v>
      </c>
      <c r="C290" s="97" t="str">
        <f t="shared" si="1"/>
        <v>#N/A</v>
      </c>
      <c r="D290" s="99" t="s">
        <v>1816</v>
      </c>
      <c r="E290" s="99" t="s">
        <v>1817</v>
      </c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ht="14.25" customHeight="1">
      <c r="A291" s="97">
        <f t="shared" si="2"/>
        <v>288</v>
      </c>
      <c r="B291" s="99" t="s">
        <v>1818</v>
      </c>
      <c r="C291" s="97" t="str">
        <f t="shared" si="1"/>
        <v>#N/A</v>
      </c>
      <c r="D291" s="99" t="s">
        <v>1819</v>
      </c>
      <c r="E291" s="99" t="s">
        <v>1820</v>
      </c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ht="14.25" customHeight="1">
      <c r="A292" s="97">
        <f t="shared" si="2"/>
        <v>289</v>
      </c>
      <c r="B292" s="99">
        <v>4.0226964274E10</v>
      </c>
      <c r="C292" s="97" t="str">
        <f t="shared" si="1"/>
        <v>#N/A</v>
      </c>
      <c r="D292" s="99" t="s">
        <v>1821</v>
      </c>
      <c r="E292" s="99" t="s">
        <v>1822</v>
      </c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ht="14.25" customHeight="1">
      <c r="A293" s="97">
        <f t="shared" si="2"/>
        <v>290</v>
      </c>
      <c r="B293" s="99">
        <v>2.2301037036E10</v>
      </c>
      <c r="C293" s="97" t="str">
        <f t="shared" si="1"/>
        <v>#N/A</v>
      </c>
      <c r="D293" s="99" t="s">
        <v>1113</v>
      </c>
      <c r="E293" s="99" t="s">
        <v>1823</v>
      </c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ht="14.25" customHeight="1">
      <c r="A294" s="97">
        <f t="shared" si="2"/>
        <v>291</v>
      </c>
      <c r="B294" s="99">
        <v>4.0200424022E10</v>
      </c>
      <c r="C294" s="97" t="str">
        <f t="shared" si="1"/>
        <v>#N/A</v>
      </c>
      <c r="D294" s="99" t="s">
        <v>1824</v>
      </c>
      <c r="E294" s="99" t="s">
        <v>1486</v>
      </c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ht="14.25" customHeight="1">
      <c r="A295" s="97">
        <f t="shared" si="2"/>
        <v>292</v>
      </c>
      <c r="B295" s="99">
        <v>2.2300931619E10</v>
      </c>
      <c r="C295" s="97" t="str">
        <f t="shared" si="1"/>
        <v>#N/A</v>
      </c>
      <c r="D295" s="99" t="s">
        <v>1825</v>
      </c>
      <c r="E295" s="99" t="s">
        <v>1117</v>
      </c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ht="14.25" customHeight="1">
      <c r="A296" s="97">
        <f t="shared" si="2"/>
        <v>293</v>
      </c>
      <c r="B296" s="99">
        <v>4.0243212467E10</v>
      </c>
      <c r="C296" s="97" t="str">
        <f t="shared" si="1"/>
        <v>#N/A</v>
      </c>
      <c r="D296" s="99" t="s">
        <v>1826</v>
      </c>
      <c r="E296" s="99" t="s">
        <v>1827</v>
      </c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ht="14.25" customHeight="1">
      <c r="A297" s="97">
        <f t="shared" si="2"/>
        <v>294</v>
      </c>
      <c r="B297" s="99">
        <v>2.2301106609E10</v>
      </c>
      <c r="C297" s="97" t="str">
        <f t="shared" si="1"/>
        <v>#N/A</v>
      </c>
      <c r="D297" s="99" t="s">
        <v>1828</v>
      </c>
      <c r="E297" s="99" t="s">
        <v>1829</v>
      </c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ht="14.25" customHeight="1">
      <c r="A298" s="97">
        <f t="shared" si="2"/>
        <v>295</v>
      </c>
      <c r="B298" s="99" t="s">
        <v>1830</v>
      </c>
      <c r="C298" s="97" t="str">
        <f t="shared" si="1"/>
        <v>#N/A</v>
      </c>
      <c r="D298" s="99" t="s">
        <v>1831</v>
      </c>
      <c r="E298" s="99" t="s">
        <v>1832</v>
      </c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ht="14.25" customHeight="1">
      <c r="A299" s="97">
        <f t="shared" si="2"/>
        <v>296</v>
      </c>
      <c r="B299" s="99">
        <v>2.2500603786E10</v>
      </c>
      <c r="C299" s="97" t="str">
        <f t="shared" si="1"/>
        <v>#N/A</v>
      </c>
      <c r="D299" s="99" t="s">
        <v>1833</v>
      </c>
      <c r="E299" s="99" t="s">
        <v>1834</v>
      </c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ht="14.25" customHeight="1">
      <c r="A300" s="97">
        <f t="shared" si="2"/>
        <v>297</v>
      </c>
      <c r="B300" s="99">
        <v>2.2300227174E10</v>
      </c>
      <c r="C300" s="97" t="str">
        <f t="shared" si="1"/>
        <v>#N/A</v>
      </c>
      <c r="D300" s="99" t="s">
        <v>1835</v>
      </c>
      <c r="E300" s="99" t="s">
        <v>1836</v>
      </c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ht="14.25" customHeight="1">
      <c r="A301" s="97">
        <f t="shared" si="2"/>
        <v>298</v>
      </c>
      <c r="B301" s="99" t="s">
        <v>1837</v>
      </c>
      <c r="C301" s="97" t="str">
        <f t="shared" si="1"/>
        <v>#N/A</v>
      </c>
      <c r="D301" s="99" t="s">
        <v>1838</v>
      </c>
      <c r="E301" s="99" t="s">
        <v>1839</v>
      </c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ht="14.25" customHeight="1">
      <c r="A302" s="97">
        <f t="shared" si="2"/>
        <v>299</v>
      </c>
      <c r="B302" s="99" t="s">
        <v>1840</v>
      </c>
      <c r="C302" s="97" t="str">
        <f t="shared" si="1"/>
        <v>#N/A</v>
      </c>
      <c r="D302" s="99" t="s">
        <v>1841</v>
      </c>
      <c r="E302" s="99" t="s">
        <v>1842</v>
      </c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ht="14.25" customHeight="1">
      <c r="A303" s="97">
        <f t="shared" si="2"/>
        <v>300</v>
      </c>
      <c r="B303" s="99">
        <v>4.0227144413E10</v>
      </c>
      <c r="C303" s="97" t="str">
        <f t="shared" si="1"/>
        <v>#N/A</v>
      </c>
      <c r="D303" s="99" t="s">
        <v>1843</v>
      </c>
      <c r="E303" s="99" t="s">
        <v>1844</v>
      </c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ht="14.25" customHeight="1">
      <c r="A304" s="97">
        <f t="shared" si="2"/>
        <v>301</v>
      </c>
      <c r="B304" s="99">
        <v>2.230061904E10</v>
      </c>
      <c r="C304" s="97" t="str">
        <f t="shared" si="1"/>
        <v>#N/A</v>
      </c>
      <c r="D304" s="99" t="s">
        <v>1845</v>
      </c>
      <c r="E304" s="99" t="s">
        <v>1846</v>
      </c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ht="14.25" customHeight="1">
      <c r="A305" s="97">
        <f t="shared" si="2"/>
        <v>302</v>
      </c>
      <c r="B305" s="99" t="s">
        <v>1847</v>
      </c>
      <c r="C305" s="97" t="str">
        <f t="shared" si="1"/>
        <v>#N/A</v>
      </c>
      <c r="D305" s="99" t="s">
        <v>1848</v>
      </c>
      <c r="E305" s="99" t="s">
        <v>1849</v>
      </c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ht="14.25" customHeight="1">
      <c r="A306" s="97">
        <f t="shared" si="2"/>
        <v>303</v>
      </c>
      <c r="B306" s="99" t="s">
        <v>1850</v>
      </c>
      <c r="C306" s="97" t="str">
        <f t="shared" si="1"/>
        <v>#N/A</v>
      </c>
      <c r="D306" s="99" t="s">
        <v>1851</v>
      </c>
      <c r="E306" s="99" t="s">
        <v>1852</v>
      </c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ht="14.25" customHeight="1">
      <c r="A307" s="97">
        <f t="shared" si="2"/>
        <v>304</v>
      </c>
      <c r="B307" s="99" t="s">
        <v>1853</v>
      </c>
      <c r="C307" s="97" t="str">
        <f t="shared" si="1"/>
        <v>#N/A</v>
      </c>
      <c r="D307" s="99" t="s">
        <v>1854</v>
      </c>
      <c r="E307" s="99" t="s">
        <v>1855</v>
      </c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ht="14.25" customHeight="1">
      <c r="A308" s="97">
        <f t="shared" si="2"/>
        <v>305</v>
      </c>
      <c r="B308" s="99" t="s">
        <v>1856</v>
      </c>
      <c r="C308" s="97" t="str">
        <f t="shared" si="1"/>
        <v>#N/A</v>
      </c>
      <c r="D308" s="99" t="s">
        <v>1857</v>
      </c>
      <c r="E308" s="99" t="s">
        <v>1858</v>
      </c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ht="14.25" customHeight="1">
      <c r="A309" s="97">
        <f t="shared" si="2"/>
        <v>306</v>
      </c>
      <c r="B309" s="99">
        <v>4.0245334285E10</v>
      </c>
      <c r="C309" s="97" t="str">
        <f t="shared" si="1"/>
        <v>#N/A</v>
      </c>
      <c r="D309" s="99" t="s">
        <v>1859</v>
      </c>
      <c r="E309" s="99" t="s">
        <v>1860</v>
      </c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ht="14.25" customHeight="1">
      <c r="A310" s="97">
        <f t="shared" si="2"/>
        <v>307</v>
      </c>
      <c r="B310" s="99" t="s">
        <v>1861</v>
      </c>
      <c r="C310" s="97" t="str">
        <f t="shared" si="1"/>
        <v>#N/A</v>
      </c>
      <c r="D310" s="99" t="s">
        <v>1862</v>
      </c>
      <c r="E310" s="99" t="s">
        <v>1863</v>
      </c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ht="14.25" customHeight="1">
      <c r="A311" s="97">
        <f t="shared" si="2"/>
        <v>308</v>
      </c>
      <c r="B311" s="99">
        <v>4.0224106316E10</v>
      </c>
      <c r="C311" s="97" t="str">
        <f t="shared" si="1"/>
        <v>#N/A</v>
      </c>
      <c r="D311" s="99" t="s">
        <v>1113</v>
      </c>
      <c r="E311" s="99" t="s">
        <v>1864</v>
      </c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ht="14.25" customHeight="1">
      <c r="A312" s="97">
        <f t="shared" si="2"/>
        <v>309</v>
      </c>
      <c r="B312" s="99" t="s">
        <v>1865</v>
      </c>
      <c r="C312" s="97" t="str">
        <f t="shared" si="1"/>
        <v>#N/A</v>
      </c>
      <c r="D312" s="99" t="s">
        <v>1866</v>
      </c>
      <c r="E312" s="99" t="s">
        <v>1867</v>
      </c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ht="14.25" customHeight="1">
      <c r="A313" s="97">
        <f t="shared" si="2"/>
        <v>310</v>
      </c>
      <c r="B313" s="99">
        <v>4.0226548044E10</v>
      </c>
      <c r="C313" s="97" t="str">
        <f t="shared" si="1"/>
        <v>#N/A</v>
      </c>
      <c r="D313" s="99" t="s">
        <v>1868</v>
      </c>
      <c r="E313" s="99" t="s">
        <v>1869</v>
      </c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ht="14.25" customHeight="1">
      <c r="A314" s="97">
        <f t="shared" si="2"/>
        <v>311</v>
      </c>
      <c r="B314" s="99" t="s">
        <v>1870</v>
      </c>
      <c r="C314" s="97" t="str">
        <f t="shared" si="1"/>
        <v>#N/A</v>
      </c>
      <c r="D314" s="99" t="s">
        <v>1871</v>
      </c>
      <c r="E314" s="99" t="s">
        <v>1872</v>
      </c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ht="14.25" customHeight="1">
      <c r="A315" s="97">
        <f t="shared" si="2"/>
        <v>312</v>
      </c>
      <c r="B315" s="99" t="s">
        <v>1873</v>
      </c>
      <c r="C315" s="97" t="str">
        <f t="shared" si="1"/>
        <v>#N/A</v>
      </c>
      <c r="D315" s="99" t="s">
        <v>1874</v>
      </c>
      <c r="E315" s="99" t="s">
        <v>1875</v>
      </c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ht="14.25" customHeight="1">
      <c r="A316" s="97">
        <f t="shared" si="2"/>
        <v>313</v>
      </c>
      <c r="B316" s="99">
        <v>4.0209715339E10</v>
      </c>
      <c r="C316" s="97" t="str">
        <f t="shared" si="1"/>
        <v>#N/A</v>
      </c>
      <c r="D316" s="99" t="s">
        <v>1876</v>
      </c>
      <c r="E316" s="99" t="s">
        <v>1877</v>
      </c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ht="14.25" customHeight="1">
      <c r="A317" s="97">
        <f t="shared" si="2"/>
        <v>314</v>
      </c>
      <c r="B317" s="99" t="s">
        <v>1878</v>
      </c>
      <c r="C317" s="97" t="str">
        <f t="shared" si="1"/>
        <v>#N/A</v>
      </c>
      <c r="D317" s="99" t="s">
        <v>1879</v>
      </c>
      <c r="E317" s="99" t="s">
        <v>1880</v>
      </c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ht="14.25" customHeight="1">
      <c r="A318" s="97">
        <f t="shared" si="2"/>
        <v>315</v>
      </c>
      <c r="B318" s="99" t="s">
        <v>1881</v>
      </c>
      <c r="C318" s="97" t="str">
        <f t="shared" si="1"/>
        <v>#N/A</v>
      </c>
      <c r="D318" s="99" t="s">
        <v>1882</v>
      </c>
      <c r="E318" s="99" t="s">
        <v>1883</v>
      </c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ht="14.25" customHeight="1">
      <c r="A319" s="97">
        <f t="shared" si="2"/>
        <v>316</v>
      </c>
      <c r="B319" s="99">
        <v>4.0222823292E10</v>
      </c>
      <c r="C319" s="97" t="str">
        <f t="shared" si="1"/>
        <v>#N/A</v>
      </c>
      <c r="D319" s="99" t="s">
        <v>1884</v>
      </c>
      <c r="E319" s="99" t="s">
        <v>1885</v>
      </c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ht="14.25" customHeight="1">
      <c r="A320" s="97">
        <f t="shared" si="2"/>
        <v>317</v>
      </c>
      <c r="B320" s="99">
        <v>2.2700020872E10</v>
      </c>
      <c r="C320" s="97" t="str">
        <f t="shared" si="1"/>
        <v>#N/A</v>
      </c>
      <c r="D320" s="99" t="s">
        <v>1886</v>
      </c>
      <c r="E320" s="99" t="s">
        <v>1887</v>
      </c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ht="14.25" customHeight="1">
      <c r="A321" s="97">
        <f t="shared" si="2"/>
        <v>318</v>
      </c>
      <c r="B321" s="99" t="s">
        <v>1888</v>
      </c>
      <c r="C321" s="97" t="str">
        <f t="shared" si="1"/>
        <v>#N/A</v>
      </c>
      <c r="D321" s="99" t="s">
        <v>1889</v>
      </c>
      <c r="E321" s="99" t="s">
        <v>1890</v>
      </c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ht="14.25" customHeight="1">
      <c r="A322" s="97">
        <f t="shared" si="2"/>
        <v>319</v>
      </c>
      <c r="B322" s="99">
        <v>2.2600049377E10</v>
      </c>
      <c r="C322" s="97" t="str">
        <f t="shared" si="1"/>
        <v>#N/A</v>
      </c>
      <c r="D322" s="99" t="s">
        <v>1891</v>
      </c>
      <c r="E322" s="99" t="s">
        <v>1892</v>
      </c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ht="14.25" customHeight="1">
      <c r="A323" s="97">
        <f t="shared" si="2"/>
        <v>320</v>
      </c>
      <c r="B323" s="99" t="s">
        <v>1893</v>
      </c>
      <c r="C323" s="97" t="str">
        <f t="shared" si="1"/>
        <v>#N/A</v>
      </c>
      <c r="D323" s="99" t="s">
        <v>1894</v>
      </c>
      <c r="E323" s="99" t="s">
        <v>1895</v>
      </c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ht="14.25" customHeight="1">
      <c r="A324" s="97">
        <f t="shared" si="2"/>
        <v>321</v>
      </c>
      <c r="B324" s="99" t="s">
        <v>1896</v>
      </c>
      <c r="C324" s="97" t="str">
        <f t="shared" si="1"/>
        <v>#N/A</v>
      </c>
      <c r="D324" s="99" t="s">
        <v>1897</v>
      </c>
      <c r="E324" s="99" t="s">
        <v>1898</v>
      </c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ht="14.25" customHeight="1">
      <c r="A325" s="97">
        <f t="shared" si="2"/>
        <v>322</v>
      </c>
      <c r="B325" s="99">
        <v>2.2300414194E10</v>
      </c>
      <c r="C325" s="97" t="str">
        <f t="shared" si="1"/>
        <v>#N/A</v>
      </c>
      <c r="D325" s="99" t="s">
        <v>1899</v>
      </c>
      <c r="E325" s="99" t="s">
        <v>1900</v>
      </c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ht="14.25" customHeight="1">
      <c r="A326" s="97">
        <f t="shared" si="2"/>
        <v>323</v>
      </c>
      <c r="B326" s="99" t="s">
        <v>1901</v>
      </c>
      <c r="C326" s="97" t="str">
        <f t="shared" si="1"/>
        <v>#N/A</v>
      </c>
      <c r="D326" s="99" t="s">
        <v>1902</v>
      </c>
      <c r="E326" s="99" t="s">
        <v>1903</v>
      </c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ht="14.25" customHeight="1">
      <c r="A327" s="97">
        <f t="shared" si="2"/>
        <v>324</v>
      </c>
      <c r="B327" s="99" t="s">
        <v>1904</v>
      </c>
      <c r="C327" s="97" t="str">
        <f t="shared" si="1"/>
        <v>#N/A</v>
      </c>
      <c r="D327" s="99" t="s">
        <v>1905</v>
      </c>
      <c r="E327" s="99" t="s">
        <v>1906</v>
      </c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ht="14.25" customHeight="1">
      <c r="A328" s="97">
        <f t="shared" si="2"/>
        <v>325</v>
      </c>
      <c r="B328" s="99" t="s">
        <v>1907</v>
      </c>
      <c r="C328" s="97" t="str">
        <f t="shared" si="1"/>
        <v>#N/A</v>
      </c>
      <c r="D328" s="99" t="s">
        <v>1908</v>
      </c>
      <c r="E328" s="99" t="s">
        <v>1909</v>
      </c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ht="14.25" customHeight="1">
      <c r="A329" s="97">
        <f t="shared" si="2"/>
        <v>326</v>
      </c>
      <c r="B329" s="99">
        <v>4.0225265293E10</v>
      </c>
      <c r="C329" s="97" t="str">
        <f t="shared" si="1"/>
        <v>#N/A</v>
      </c>
      <c r="D329" s="99" t="s">
        <v>1910</v>
      </c>
      <c r="E329" s="99" t="s">
        <v>1911</v>
      </c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ht="14.25" customHeight="1">
      <c r="A330" s="97">
        <f t="shared" si="2"/>
        <v>327</v>
      </c>
      <c r="B330" s="99" t="s">
        <v>1912</v>
      </c>
      <c r="C330" s="97" t="str">
        <f t="shared" si="1"/>
        <v>#N/A</v>
      </c>
      <c r="D330" s="99" t="s">
        <v>1913</v>
      </c>
      <c r="E330" s="99" t="s">
        <v>1914</v>
      </c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ht="14.25" customHeight="1">
      <c r="A331" s="97">
        <f t="shared" si="2"/>
        <v>328</v>
      </c>
      <c r="B331" s="99">
        <v>2.2300972241E10</v>
      </c>
      <c r="C331" s="97" t="str">
        <f t="shared" si="1"/>
        <v>#N/A</v>
      </c>
      <c r="D331" s="99" t="s">
        <v>1915</v>
      </c>
      <c r="E331" s="99" t="s">
        <v>1916</v>
      </c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ht="14.25" customHeight="1">
      <c r="A332" s="97">
        <f t="shared" si="2"/>
        <v>329</v>
      </c>
      <c r="B332" s="99">
        <v>2.2301112383E10</v>
      </c>
      <c r="C332" s="97" t="str">
        <f t="shared" si="1"/>
        <v>#N/A</v>
      </c>
      <c r="D332" s="99" t="s">
        <v>1917</v>
      </c>
      <c r="E332" s="99" t="s">
        <v>1918</v>
      </c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ht="14.25" customHeight="1">
      <c r="A333" s="97">
        <f t="shared" si="2"/>
        <v>330</v>
      </c>
      <c r="B333" s="99" t="s">
        <v>1919</v>
      </c>
      <c r="C333" s="97" t="str">
        <f t="shared" si="1"/>
        <v>#N/A</v>
      </c>
      <c r="D333" s="99" t="s">
        <v>1920</v>
      </c>
      <c r="E333" s="99" t="s">
        <v>1921</v>
      </c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ht="14.25" customHeight="1">
      <c r="A334" s="97">
        <f t="shared" si="2"/>
        <v>331</v>
      </c>
      <c r="B334" s="99">
        <v>4.0220041426E10</v>
      </c>
      <c r="C334" s="97" t="str">
        <f t="shared" si="1"/>
        <v>#N/A</v>
      </c>
      <c r="D334" s="99" t="s">
        <v>1922</v>
      </c>
      <c r="E334" s="99" t="s">
        <v>1923</v>
      </c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ht="14.25" customHeight="1">
      <c r="A335" s="97">
        <f t="shared" si="2"/>
        <v>332</v>
      </c>
      <c r="B335" s="99" t="s">
        <v>1924</v>
      </c>
      <c r="C335" s="97" t="str">
        <f t="shared" si="1"/>
        <v>#N/A</v>
      </c>
      <c r="D335" s="99" t="s">
        <v>1925</v>
      </c>
      <c r="E335" s="99" t="s">
        <v>1926</v>
      </c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ht="14.25" customHeight="1">
      <c r="A336" s="97">
        <f t="shared" si="2"/>
        <v>333</v>
      </c>
      <c r="B336" s="99" t="s">
        <v>1927</v>
      </c>
      <c r="C336" s="97" t="str">
        <f t="shared" si="1"/>
        <v>#N/A</v>
      </c>
      <c r="D336" s="99" t="s">
        <v>1928</v>
      </c>
      <c r="E336" s="99" t="s">
        <v>1929</v>
      </c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ht="14.25" customHeight="1">
      <c r="A337" s="97">
        <f t="shared" si="2"/>
        <v>334</v>
      </c>
      <c r="B337" s="99" t="s">
        <v>1930</v>
      </c>
      <c r="C337" s="97" t="str">
        <f t="shared" si="1"/>
        <v>#N/A</v>
      </c>
      <c r="D337" s="99" t="s">
        <v>1931</v>
      </c>
      <c r="E337" s="99" t="s">
        <v>1932</v>
      </c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ht="14.25" customHeight="1">
      <c r="A338" s="97">
        <f t="shared" si="2"/>
        <v>335</v>
      </c>
      <c r="B338" s="99" t="s">
        <v>1933</v>
      </c>
      <c r="C338" s="97" t="str">
        <f t="shared" si="1"/>
        <v>#N/A</v>
      </c>
      <c r="D338" s="99" t="s">
        <v>1118</v>
      </c>
      <c r="E338" s="99" t="s">
        <v>1934</v>
      </c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ht="14.25" customHeight="1">
      <c r="A339" s="97">
        <f t="shared" si="2"/>
        <v>336</v>
      </c>
      <c r="B339" s="99" t="s">
        <v>1935</v>
      </c>
      <c r="C339" s="97" t="str">
        <f t="shared" si="1"/>
        <v>#N/A</v>
      </c>
      <c r="D339" s="99" t="s">
        <v>1936</v>
      </c>
      <c r="E339" s="99" t="s">
        <v>1937</v>
      </c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ht="14.25" customHeight="1">
      <c r="A340" s="97">
        <f t="shared" si="2"/>
        <v>337</v>
      </c>
      <c r="B340" s="99">
        <v>4.0225575105E10</v>
      </c>
      <c r="C340" s="97" t="str">
        <f t="shared" si="1"/>
        <v>#N/A</v>
      </c>
      <c r="D340" s="99" t="s">
        <v>1938</v>
      </c>
      <c r="E340" s="99" t="s">
        <v>1939</v>
      </c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ht="14.25" customHeight="1">
      <c r="A341" s="97">
        <f t="shared" si="2"/>
        <v>338</v>
      </c>
      <c r="B341" s="99" t="s">
        <v>1940</v>
      </c>
      <c r="C341" s="97" t="str">
        <f t="shared" si="1"/>
        <v>#N/A</v>
      </c>
      <c r="D341" s="99" t="s">
        <v>1941</v>
      </c>
      <c r="E341" s="99" t="s">
        <v>1942</v>
      </c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ht="14.25" customHeight="1">
      <c r="A342" s="97">
        <f t="shared" si="2"/>
        <v>339</v>
      </c>
      <c r="B342" s="99">
        <v>2.2700014297E10</v>
      </c>
      <c r="C342" s="97" t="str">
        <f t="shared" si="1"/>
        <v>#N/A</v>
      </c>
      <c r="D342" s="99" t="s">
        <v>1943</v>
      </c>
      <c r="E342" s="99" t="s">
        <v>1944</v>
      </c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ht="14.25" customHeight="1">
      <c r="A343" s="97">
        <f t="shared" si="2"/>
        <v>340</v>
      </c>
      <c r="B343" s="99">
        <v>4.0222402881E10</v>
      </c>
      <c r="C343" s="97" t="str">
        <f t="shared" si="1"/>
        <v>#N/A</v>
      </c>
      <c r="D343" s="99" t="s">
        <v>1945</v>
      </c>
      <c r="E343" s="99" t="s">
        <v>1946</v>
      </c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ht="14.25" customHeight="1">
      <c r="A344" s="97">
        <f t="shared" si="2"/>
        <v>341</v>
      </c>
      <c r="B344" s="99">
        <v>4.023357329E10</v>
      </c>
      <c r="C344" s="97" t="str">
        <f t="shared" si="1"/>
        <v>#N/A</v>
      </c>
      <c r="D344" s="99" t="s">
        <v>1947</v>
      </c>
      <c r="E344" s="99" t="s">
        <v>1948</v>
      </c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ht="14.25" customHeight="1">
      <c r="A345" s="97">
        <f t="shared" si="2"/>
        <v>342</v>
      </c>
      <c r="B345" s="99" t="s">
        <v>1949</v>
      </c>
      <c r="C345" s="97" t="str">
        <f t="shared" si="1"/>
        <v>#N/A</v>
      </c>
      <c r="D345" s="99" t="s">
        <v>1950</v>
      </c>
      <c r="E345" s="99" t="s">
        <v>1951</v>
      </c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ht="14.25" customHeight="1">
      <c r="A346" s="97">
        <f t="shared" si="2"/>
        <v>343</v>
      </c>
      <c r="B346" s="99" t="s">
        <v>1952</v>
      </c>
      <c r="C346" s="97" t="str">
        <f t="shared" si="1"/>
        <v>#N/A</v>
      </c>
      <c r="D346" s="99" t="s">
        <v>1113</v>
      </c>
      <c r="E346" s="99" t="s">
        <v>1953</v>
      </c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ht="14.25" customHeight="1">
      <c r="A347" s="97">
        <f t="shared" si="2"/>
        <v>344</v>
      </c>
      <c r="B347" s="99">
        <v>4.0214739894E10</v>
      </c>
      <c r="C347" s="97" t="str">
        <f t="shared" si="1"/>
        <v>#N/A</v>
      </c>
      <c r="D347" s="99" t="s">
        <v>1954</v>
      </c>
      <c r="E347" s="99" t="s">
        <v>1955</v>
      </c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ht="14.25" customHeight="1">
      <c r="A348" s="97">
        <f t="shared" si="2"/>
        <v>345</v>
      </c>
      <c r="B348" s="99">
        <v>4.0226164503E10</v>
      </c>
      <c r="C348" s="97" t="str">
        <f t="shared" si="1"/>
        <v>#N/A</v>
      </c>
      <c r="D348" s="99" t="s">
        <v>1956</v>
      </c>
      <c r="E348" s="99" t="s">
        <v>1957</v>
      </c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ht="14.25" customHeight="1">
      <c r="A349" s="97">
        <f t="shared" si="2"/>
        <v>346</v>
      </c>
      <c r="B349" s="99">
        <v>2.2300229089E10</v>
      </c>
      <c r="C349" s="97" t="str">
        <f t="shared" si="1"/>
        <v>#N/A</v>
      </c>
      <c r="D349" s="99" t="s">
        <v>1958</v>
      </c>
      <c r="E349" s="99" t="s">
        <v>1959</v>
      </c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ht="14.25" customHeight="1">
      <c r="A350" s="97">
        <f t="shared" si="2"/>
        <v>347</v>
      </c>
      <c r="B350" s="99" t="s">
        <v>1960</v>
      </c>
      <c r="C350" s="97" t="str">
        <f t="shared" si="1"/>
        <v>#N/A</v>
      </c>
      <c r="D350" s="99" t="s">
        <v>1961</v>
      </c>
      <c r="E350" s="99" t="s">
        <v>1962</v>
      </c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ht="14.25" customHeight="1">
      <c r="A351" s="97">
        <f t="shared" si="2"/>
        <v>348</v>
      </c>
      <c r="B351" s="99" t="s">
        <v>1963</v>
      </c>
      <c r="C351" s="97" t="str">
        <f t="shared" si="1"/>
        <v>#N/A</v>
      </c>
      <c r="D351" s="99" t="s">
        <v>1964</v>
      </c>
      <c r="E351" s="99" t="s">
        <v>1965</v>
      </c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ht="14.25" customHeight="1">
      <c r="A352" s="97">
        <f t="shared" si="2"/>
        <v>349</v>
      </c>
      <c r="B352" s="99">
        <v>1.3600180387E10</v>
      </c>
      <c r="C352" s="97" t="str">
        <f t="shared" si="1"/>
        <v>#N/A</v>
      </c>
      <c r="D352" s="99" t="s">
        <v>1595</v>
      </c>
      <c r="E352" s="99" t="s">
        <v>1966</v>
      </c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ht="14.25" customHeight="1">
      <c r="A353" s="97">
        <f t="shared" si="2"/>
        <v>350</v>
      </c>
      <c r="B353" s="99" t="s">
        <v>1967</v>
      </c>
      <c r="C353" s="97" t="str">
        <f t="shared" si="1"/>
        <v>#N/A</v>
      </c>
      <c r="D353" s="99" t="s">
        <v>1968</v>
      </c>
      <c r="E353" s="99" t="s">
        <v>1969</v>
      </c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ht="14.25" customHeight="1">
      <c r="A354" s="97">
        <f t="shared" si="2"/>
        <v>351</v>
      </c>
      <c r="B354" s="99" t="s">
        <v>1970</v>
      </c>
      <c r="C354" s="97" t="str">
        <f t="shared" si="1"/>
        <v>#N/A</v>
      </c>
      <c r="D354" s="99" t="s">
        <v>1971</v>
      </c>
      <c r="E354" s="99" t="s">
        <v>1972</v>
      </c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ht="14.25" customHeight="1">
      <c r="A355" s="97">
        <f t="shared" si="2"/>
        <v>352</v>
      </c>
      <c r="B355" s="99">
        <v>2.2301075374E10</v>
      </c>
      <c r="C355" s="97" t="str">
        <f t="shared" si="1"/>
        <v>#N/A</v>
      </c>
      <c r="D355" s="99" t="s">
        <v>1973</v>
      </c>
      <c r="E355" s="99" t="s">
        <v>1974</v>
      </c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ht="14.25" customHeight="1">
      <c r="A356" s="97">
        <f t="shared" si="2"/>
        <v>353</v>
      </c>
      <c r="B356" s="99">
        <v>1.0900063396E10</v>
      </c>
      <c r="C356" s="97" t="str">
        <f t="shared" si="1"/>
        <v>#N/A</v>
      </c>
      <c r="D356" s="99" t="s">
        <v>1975</v>
      </c>
      <c r="E356" s="99" t="s">
        <v>1976</v>
      </c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ht="14.25" customHeight="1">
      <c r="A357" s="97">
        <f t="shared" si="2"/>
        <v>354</v>
      </c>
      <c r="B357" s="99">
        <v>4.0221961622E10</v>
      </c>
      <c r="C357" s="97" t="str">
        <f t="shared" si="1"/>
        <v>#N/A</v>
      </c>
      <c r="D357" s="99" t="s">
        <v>1977</v>
      </c>
      <c r="E357" s="99" t="s">
        <v>1978</v>
      </c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ht="14.25" customHeight="1">
      <c r="A358" s="97">
        <f t="shared" si="2"/>
        <v>355</v>
      </c>
      <c r="B358" s="99" t="s">
        <v>1979</v>
      </c>
      <c r="C358" s="97" t="str">
        <f t="shared" si="1"/>
        <v>#N/A</v>
      </c>
      <c r="D358" s="99" t="s">
        <v>1980</v>
      </c>
      <c r="E358" s="99" t="s">
        <v>1981</v>
      </c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ht="14.25" customHeight="1">
      <c r="A359" s="97">
        <f t="shared" si="2"/>
        <v>356</v>
      </c>
      <c r="B359" s="99">
        <v>4.0223731841E10</v>
      </c>
      <c r="C359" s="97" t="str">
        <f t="shared" si="1"/>
        <v>#N/A</v>
      </c>
      <c r="D359" s="99" t="s">
        <v>1982</v>
      </c>
      <c r="E359" s="99" t="s">
        <v>1983</v>
      </c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ht="14.25" customHeight="1">
      <c r="A360" s="97">
        <f t="shared" si="2"/>
        <v>357</v>
      </c>
      <c r="B360" s="99" t="s">
        <v>1984</v>
      </c>
      <c r="C360" s="97" t="str">
        <f t="shared" si="1"/>
        <v>#N/A</v>
      </c>
      <c r="D360" s="99" t="s">
        <v>1985</v>
      </c>
      <c r="E360" s="99" t="s">
        <v>1986</v>
      </c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ht="14.25" customHeight="1">
      <c r="A361" s="97">
        <f t="shared" si="2"/>
        <v>358</v>
      </c>
      <c r="B361" s="99" t="s">
        <v>1987</v>
      </c>
      <c r="C361" s="97" t="str">
        <f t="shared" si="1"/>
        <v>#N/A</v>
      </c>
      <c r="D361" s="99" t="s">
        <v>1988</v>
      </c>
      <c r="E361" s="99" t="s">
        <v>1989</v>
      </c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ht="14.25" customHeight="1">
      <c r="A362" s="97">
        <f t="shared" si="2"/>
        <v>359</v>
      </c>
      <c r="B362" s="99">
        <v>2.2300827494E10</v>
      </c>
      <c r="C362" s="97" t="str">
        <f t="shared" si="1"/>
        <v>#N/A</v>
      </c>
      <c r="D362" s="99" t="s">
        <v>1990</v>
      </c>
      <c r="E362" s="99" t="s">
        <v>1991</v>
      </c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ht="14.25" customHeight="1">
      <c r="A363" s="97">
        <f t="shared" si="2"/>
        <v>360</v>
      </c>
      <c r="B363" s="99" t="s">
        <v>1992</v>
      </c>
      <c r="C363" s="97" t="str">
        <f t="shared" si="1"/>
        <v>#N/A</v>
      </c>
      <c r="D363" s="99" t="s">
        <v>1993</v>
      </c>
      <c r="E363" s="99" t="s">
        <v>1994</v>
      </c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ht="14.25" customHeight="1">
      <c r="A364" s="97">
        <f t="shared" si="2"/>
        <v>361</v>
      </c>
      <c r="B364" s="99" t="s">
        <v>1995</v>
      </c>
      <c r="C364" s="97" t="str">
        <f t="shared" si="1"/>
        <v>#N/A</v>
      </c>
      <c r="D364" s="99" t="s">
        <v>1996</v>
      </c>
      <c r="E364" s="99" t="s">
        <v>1997</v>
      </c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ht="14.25" customHeight="1">
      <c r="A365" s="97">
        <f t="shared" si="2"/>
        <v>362</v>
      </c>
      <c r="B365" s="99">
        <v>2.2300877572E10</v>
      </c>
      <c r="C365" s="97" t="str">
        <f t="shared" si="1"/>
        <v>#N/A</v>
      </c>
      <c r="D365" s="99" t="s">
        <v>1998</v>
      </c>
      <c r="E365" s="99" t="s">
        <v>1999</v>
      </c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ht="14.25" customHeight="1">
      <c r="A366" s="97">
        <f t="shared" si="2"/>
        <v>363</v>
      </c>
      <c r="B366" s="99" t="s">
        <v>2000</v>
      </c>
      <c r="C366" s="97" t="str">
        <f t="shared" si="1"/>
        <v>#N/A</v>
      </c>
      <c r="D366" s="99" t="s">
        <v>2001</v>
      </c>
      <c r="E366" s="99" t="s">
        <v>2002</v>
      </c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ht="14.25" customHeight="1">
      <c r="A367" s="97">
        <f t="shared" si="2"/>
        <v>364</v>
      </c>
      <c r="B367" s="99">
        <v>4.0224892337E10</v>
      </c>
      <c r="C367" s="97" t="str">
        <f t="shared" si="1"/>
        <v>#N/A</v>
      </c>
      <c r="D367" s="99" t="s">
        <v>2003</v>
      </c>
      <c r="E367" s="99" t="s">
        <v>2004</v>
      </c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ht="14.25" customHeight="1">
      <c r="A368" s="97">
        <f t="shared" si="2"/>
        <v>365</v>
      </c>
      <c r="B368" s="99">
        <v>4.0223573045E10</v>
      </c>
      <c r="C368" s="97" t="str">
        <f t="shared" si="1"/>
        <v>#N/A</v>
      </c>
      <c r="D368" s="99" t="s">
        <v>2005</v>
      </c>
      <c r="E368" s="99" t="s">
        <v>2006</v>
      </c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ht="14.25" customHeight="1">
      <c r="A369" s="97">
        <f t="shared" si="2"/>
        <v>366</v>
      </c>
      <c r="B369" s="99">
        <v>4.0224645032E10</v>
      </c>
      <c r="C369" s="97" t="str">
        <f t="shared" si="1"/>
        <v>#N/A</v>
      </c>
      <c r="D369" s="99" t="s">
        <v>2007</v>
      </c>
      <c r="E369" s="99" t="s">
        <v>2008</v>
      </c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ht="14.25" customHeight="1">
      <c r="A370" s="97">
        <f t="shared" si="2"/>
        <v>367</v>
      </c>
      <c r="B370" s="99">
        <v>2.2300774183E10</v>
      </c>
      <c r="C370" s="97" t="str">
        <f t="shared" si="1"/>
        <v>#N/A</v>
      </c>
      <c r="D370" s="99" t="s">
        <v>2009</v>
      </c>
      <c r="E370" s="99" t="s">
        <v>2010</v>
      </c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ht="14.25" customHeight="1">
      <c r="A371" s="97">
        <f t="shared" si="2"/>
        <v>368</v>
      </c>
      <c r="B371" s="99">
        <v>1.5200008074E10</v>
      </c>
      <c r="C371" s="97" t="str">
        <f t="shared" si="1"/>
        <v>#N/A</v>
      </c>
      <c r="D371" s="99" t="s">
        <v>2011</v>
      </c>
      <c r="E371" s="99" t="s">
        <v>2012</v>
      </c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ht="14.25" customHeight="1">
      <c r="A372" s="97">
        <f t="shared" si="2"/>
        <v>369</v>
      </c>
      <c r="B372" s="99" t="s">
        <v>2013</v>
      </c>
      <c r="C372" s="97" t="str">
        <f t="shared" si="1"/>
        <v>#N/A</v>
      </c>
      <c r="D372" s="99" t="s">
        <v>2014</v>
      </c>
      <c r="E372" s="99" t="s">
        <v>2015</v>
      </c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ht="14.25" customHeight="1">
      <c r="A373" s="97">
        <f t="shared" si="2"/>
        <v>370</v>
      </c>
      <c r="B373" s="99">
        <v>2.2300684283E10</v>
      </c>
      <c r="C373" s="97" t="str">
        <f t="shared" si="1"/>
        <v>#N/A</v>
      </c>
      <c r="D373" s="99" t="s">
        <v>2016</v>
      </c>
      <c r="E373" s="99" t="s">
        <v>2017</v>
      </c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ht="14.25" customHeight="1">
      <c r="A374" s="97">
        <f t="shared" si="2"/>
        <v>371</v>
      </c>
      <c r="B374" s="99" t="s">
        <v>2018</v>
      </c>
      <c r="C374" s="97" t="str">
        <f t="shared" si="1"/>
        <v>#N/A</v>
      </c>
      <c r="D374" s="99" t="s">
        <v>2019</v>
      </c>
      <c r="E374" s="99" t="s">
        <v>2020</v>
      </c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ht="14.25" customHeight="1">
      <c r="A375" s="97">
        <f t="shared" si="2"/>
        <v>372</v>
      </c>
      <c r="B375" s="99">
        <v>4.0220089474E10</v>
      </c>
      <c r="C375" s="97" t="str">
        <f t="shared" si="1"/>
        <v>#N/A</v>
      </c>
      <c r="D375" s="99" t="s">
        <v>2021</v>
      </c>
      <c r="E375" s="99" t="s">
        <v>2022</v>
      </c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ht="14.25" customHeight="1">
      <c r="A376" s="97">
        <f t="shared" si="2"/>
        <v>373</v>
      </c>
      <c r="B376" s="99">
        <v>2.230101486E10</v>
      </c>
      <c r="C376" s="97" t="str">
        <f t="shared" si="1"/>
        <v>#N/A</v>
      </c>
      <c r="D376" s="99" t="s">
        <v>2023</v>
      </c>
      <c r="E376" s="99" t="s">
        <v>2024</v>
      </c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ht="14.25" customHeight="1">
      <c r="A377" s="97">
        <f t="shared" si="2"/>
        <v>374</v>
      </c>
      <c r="B377" s="99" t="s">
        <v>2025</v>
      </c>
      <c r="C377" s="97" t="str">
        <f t="shared" si="1"/>
        <v>#N/A</v>
      </c>
      <c r="D377" s="99" t="s">
        <v>1667</v>
      </c>
      <c r="E377" s="99" t="s">
        <v>2026</v>
      </c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ht="14.25" customHeight="1">
      <c r="A378" s="97">
        <f t="shared" si="2"/>
        <v>375</v>
      </c>
      <c r="B378" s="99" t="s">
        <v>2027</v>
      </c>
      <c r="C378" s="97" t="str">
        <f t="shared" si="1"/>
        <v>#N/A</v>
      </c>
      <c r="D378" s="99" t="s">
        <v>2028</v>
      </c>
      <c r="E378" s="99" t="s">
        <v>2029</v>
      </c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ht="14.25" customHeight="1">
      <c r="A379" s="97">
        <f t="shared" si="2"/>
        <v>376</v>
      </c>
      <c r="B379" s="99" t="s">
        <v>2030</v>
      </c>
      <c r="C379" s="97" t="str">
        <f t="shared" si="1"/>
        <v>#N/A</v>
      </c>
      <c r="D379" s="99" t="s">
        <v>2031</v>
      </c>
      <c r="E379" s="99" t="s">
        <v>2032</v>
      </c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ht="14.25" customHeight="1">
      <c r="A380" s="97">
        <f t="shared" si="2"/>
        <v>377</v>
      </c>
      <c r="B380" s="99" t="s">
        <v>2033</v>
      </c>
      <c r="C380" s="97" t="str">
        <f t="shared" si="1"/>
        <v>#N/A</v>
      </c>
      <c r="D380" s="99" t="s">
        <v>2034</v>
      </c>
      <c r="E380" s="99" t="s">
        <v>1162</v>
      </c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ht="14.25" customHeight="1">
      <c r="A381" s="97">
        <f t="shared" si="2"/>
        <v>378</v>
      </c>
      <c r="B381" s="99">
        <v>2.2301029777E10</v>
      </c>
      <c r="C381" s="97" t="str">
        <f t="shared" si="1"/>
        <v>#N/A</v>
      </c>
      <c r="D381" s="99" t="s">
        <v>2035</v>
      </c>
      <c r="E381" s="99" t="s">
        <v>2036</v>
      </c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ht="14.25" customHeight="1">
      <c r="A382" s="97">
        <f t="shared" si="2"/>
        <v>379</v>
      </c>
      <c r="B382" s="99">
        <v>2.2300601097E10</v>
      </c>
      <c r="C382" s="97" t="str">
        <f t="shared" si="1"/>
        <v>#N/A</v>
      </c>
      <c r="D382" s="99" t="s">
        <v>1490</v>
      </c>
      <c r="E382" s="99" t="s">
        <v>2037</v>
      </c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ht="14.25" customHeight="1">
      <c r="A383" s="97">
        <f t="shared" si="2"/>
        <v>380</v>
      </c>
      <c r="B383" s="99">
        <v>2.2301679134E10</v>
      </c>
      <c r="C383" s="97" t="str">
        <f t="shared" si="1"/>
        <v>#N/A</v>
      </c>
      <c r="D383" s="99" t="s">
        <v>2038</v>
      </c>
      <c r="E383" s="99" t="s">
        <v>2039</v>
      </c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ht="14.25" customHeight="1">
      <c r="A384" s="97">
        <f t="shared" si="2"/>
        <v>381</v>
      </c>
      <c r="B384" s="99">
        <v>4.0225541255E10</v>
      </c>
      <c r="C384" s="97" t="str">
        <f t="shared" si="1"/>
        <v>#N/A</v>
      </c>
      <c r="D384" s="99" t="s">
        <v>2040</v>
      </c>
      <c r="E384" s="99" t="s">
        <v>2041</v>
      </c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ht="14.25" customHeight="1">
      <c r="A385" s="97">
        <f t="shared" si="2"/>
        <v>382</v>
      </c>
      <c r="B385" s="99">
        <v>2.2301389403E10</v>
      </c>
      <c r="C385" s="97" t="str">
        <f t="shared" si="1"/>
        <v>#N/A</v>
      </c>
      <c r="D385" s="99" t="s">
        <v>2042</v>
      </c>
      <c r="E385" s="99" t="s">
        <v>2043</v>
      </c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ht="14.25" customHeight="1">
      <c r="A386" s="97">
        <f t="shared" si="2"/>
        <v>383</v>
      </c>
      <c r="B386" s="99">
        <v>2.2300802935E10</v>
      </c>
      <c r="C386" s="97" t="str">
        <f t="shared" si="1"/>
        <v>#N/A</v>
      </c>
      <c r="D386" s="99" t="s">
        <v>2044</v>
      </c>
      <c r="E386" s="99" t="s">
        <v>2045</v>
      </c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ht="14.25" customHeight="1">
      <c r="A387" s="97">
        <f t="shared" si="2"/>
        <v>384</v>
      </c>
      <c r="B387" s="99" t="s">
        <v>2046</v>
      </c>
      <c r="C387" s="97" t="str">
        <f t="shared" si="1"/>
        <v>#N/A</v>
      </c>
      <c r="D387" s="99" t="s">
        <v>2047</v>
      </c>
      <c r="E387" s="99" t="s">
        <v>2048</v>
      </c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ht="14.25" customHeight="1">
      <c r="A388" s="97">
        <f t="shared" si="2"/>
        <v>385</v>
      </c>
      <c r="B388" s="99" t="s">
        <v>2049</v>
      </c>
      <c r="C388" s="97" t="str">
        <f t="shared" si="1"/>
        <v>#N/A</v>
      </c>
      <c r="D388" s="99" t="s">
        <v>2050</v>
      </c>
      <c r="E388" s="99" t="s">
        <v>2051</v>
      </c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ht="14.25" customHeight="1">
      <c r="A389" s="97">
        <f t="shared" si="2"/>
        <v>386</v>
      </c>
      <c r="B389" s="99">
        <v>4.0224422853E10</v>
      </c>
      <c r="C389" s="97" t="str">
        <f t="shared" si="1"/>
        <v>#N/A</v>
      </c>
      <c r="D389" s="99" t="s">
        <v>1902</v>
      </c>
      <c r="E389" s="99" t="s">
        <v>2052</v>
      </c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ht="14.25" customHeight="1">
      <c r="A390" s="97">
        <f t="shared" si="2"/>
        <v>387</v>
      </c>
      <c r="B390" s="99">
        <v>2.230039847E10</v>
      </c>
      <c r="C390" s="97" t="str">
        <f t="shared" si="1"/>
        <v>#N/A</v>
      </c>
      <c r="D390" s="99" t="s">
        <v>2053</v>
      </c>
      <c r="E390" s="99" t="s">
        <v>2054</v>
      </c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ht="14.25" customHeight="1">
      <c r="A391" s="97">
        <f t="shared" si="2"/>
        <v>388</v>
      </c>
      <c r="B391" s="99" t="s">
        <v>2055</v>
      </c>
      <c r="C391" s="97" t="str">
        <f t="shared" si="1"/>
        <v>#N/A</v>
      </c>
      <c r="D391" s="99" t="s">
        <v>2056</v>
      </c>
      <c r="E391" s="99" t="s">
        <v>2057</v>
      </c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ht="14.25" customHeight="1">
      <c r="A392" s="97">
        <f t="shared" si="2"/>
        <v>389</v>
      </c>
      <c r="B392" s="99">
        <v>2.2300141904E10</v>
      </c>
      <c r="C392" s="97" t="str">
        <f t="shared" si="1"/>
        <v>#N/A</v>
      </c>
      <c r="D392" s="99" t="s">
        <v>2058</v>
      </c>
      <c r="E392" s="99" t="s">
        <v>2059</v>
      </c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ht="14.25" customHeight="1">
      <c r="A393" s="97">
        <f t="shared" si="2"/>
        <v>390</v>
      </c>
      <c r="B393" s="99">
        <v>4.0222516987E10</v>
      </c>
      <c r="C393" s="97" t="str">
        <f t="shared" si="1"/>
        <v>#N/A</v>
      </c>
      <c r="D393" s="99" t="s">
        <v>2060</v>
      </c>
      <c r="E393" s="99" t="s">
        <v>2061</v>
      </c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ht="14.25" customHeight="1">
      <c r="A394" s="97">
        <f t="shared" si="2"/>
        <v>391</v>
      </c>
      <c r="B394" s="99" t="s">
        <v>2062</v>
      </c>
      <c r="C394" s="97" t="str">
        <f t="shared" si="1"/>
        <v>#N/A</v>
      </c>
      <c r="D394" s="99" t="s">
        <v>2063</v>
      </c>
      <c r="E394" s="99" t="s">
        <v>2064</v>
      </c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ht="14.25" customHeight="1">
      <c r="A395" s="97">
        <f t="shared" si="2"/>
        <v>392</v>
      </c>
      <c r="B395" s="99">
        <v>2.2300342528E10</v>
      </c>
      <c r="C395" s="97" t="str">
        <f t="shared" si="1"/>
        <v>#N/A</v>
      </c>
      <c r="D395" s="99" t="s">
        <v>2065</v>
      </c>
      <c r="E395" s="99" t="s">
        <v>2066</v>
      </c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ht="14.25" customHeight="1">
      <c r="A396" s="97">
        <f t="shared" si="2"/>
        <v>393</v>
      </c>
      <c r="B396" s="99">
        <v>4.0200393037E10</v>
      </c>
      <c r="C396" s="97" t="str">
        <f t="shared" si="1"/>
        <v>#N/A</v>
      </c>
      <c r="D396" s="99" t="s">
        <v>2067</v>
      </c>
      <c r="E396" s="99" t="s">
        <v>2068</v>
      </c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ht="14.25" customHeight="1">
      <c r="A397" s="97">
        <f t="shared" si="2"/>
        <v>394</v>
      </c>
      <c r="B397" s="99">
        <v>4.0221838929E10</v>
      </c>
      <c r="C397" s="97" t="str">
        <f t="shared" si="1"/>
        <v>#N/A</v>
      </c>
      <c r="D397" s="99" t="s">
        <v>2069</v>
      </c>
      <c r="E397" s="99" t="s">
        <v>2070</v>
      </c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ht="14.25" customHeight="1">
      <c r="A398" s="97">
        <f t="shared" si="2"/>
        <v>395</v>
      </c>
      <c r="B398" s="99" t="s">
        <v>2071</v>
      </c>
      <c r="C398" s="97" t="str">
        <f t="shared" si="1"/>
        <v>#N/A</v>
      </c>
      <c r="D398" s="99" t="s">
        <v>2072</v>
      </c>
      <c r="E398" s="99" t="s">
        <v>2073</v>
      </c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ht="14.25" customHeight="1">
      <c r="A399" s="97">
        <f t="shared" si="2"/>
        <v>396</v>
      </c>
      <c r="B399" s="99" t="s">
        <v>2074</v>
      </c>
      <c r="C399" s="97" t="str">
        <f t="shared" si="1"/>
        <v>#N/A</v>
      </c>
      <c r="D399" s="99" t="s">
        <v>2075</v>
      </c>
      <c r="E399" s="99" t="s">
        <v>2076</v>
      </c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ht="14.25" customHeight="1">
      <c r="A400" s="97">
        <f t="shared" si="2"/>
        <v>397</v>
      </c>
      <c r="B400" s="99" t="s">
        <v>2077</v>
      </c>
      <c r="C400" s="97" t="str">
        <f t="shared" si="1"/>
        <v>#N/A</v>
      </c>
      <c r="D400" s="99" t="s">
        <v>2078</v>
      </c>
      <c r="E400" s="99" t="s">
        <v>2079</v>
      </c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ht="14.25" customHeight="1">
      <c r="A401" s="97">
        <f t="shared" si="2"/>
        <v>398</v>
      </c>
      <c r="B401" s="99" t="s">
        <v>2080</v>
      </c>
      <c r="C401" s="97" t="str">
        <f t="shared" si="1"/>
        <v>#N/A</v>
      </c>
      <c r="D401" s="99" t="s">
        <v>2081</v>
      </c>
      <c r="E401" s="99" t="s">
        <v>2082</v>
      </c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ht="14.25" customHeight="1">
      <c r="A402" s="97">
        <f t="shared" si="2"/>
        <v>399</v>
      </c>
      <c r="B402" s="99" t="s">
        <v>2083</v>
      </c>
      <c r="C402" s="97" t="str">
        <f t="shared" si="1"/>
        <v>#N/A</v>
      </c>
      <c r="D402" s="99" t="s">
        <v>2084</v>
      </c>
      <c r="E402" s="99" t="s">
        <v>2085</v>
      </c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ht="14.25" customHeight="1">
      <c r="A403" s="97">
        <f t="shared" si="2"/>
        <v>400</v>
      </c>
      <c r="B403" s="99" t="s">
        <v>2086</v>
      </c>
      <c r="C403" s="97" t="str">
        <f t="shared" si="1"/>
        <v>#N/A</v>
      </c>
      <c r="D403" s="99" t="s">
        <v>1797</v>
      </c>
      <c r="E403" s="99" t="s">
        <v>2087</v>
      </c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ht="14.25" customHeight="1">
      <c r="A404" s="97">
        <f t="shared" si="2"/>
        <v>401</v>
      </c>
      <c r="B404" s="99" t="s">
        <v>2088</v>
      </c>
      <c r="C404" s="97" t="str">
        <f t="shared" si="1"/>
        <v>#N/A</v>
      </c>
      <c r="D404" s="99" t="s">
        <v>2089</v>
      </c>
      <c r="E404" s="99" t="s">
        <v>2090</v>
      </c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ht="14.25" customHeight="1">
      <c r="A405" s="97">
        <f t="shared" si="2"/>
        <v>402</v>
      </c>
      <c r="B405" s="99" t="s">
        <v>2091</v>
      </c>
      <c r="C405" s="97" t="str">
        <f t="shared" si="1"/>
        <v>#N/A</v>
      </c>
      <c r="D405" s="99" t="s">
        <v>2092</v>
      </c>
      <c r="E405" s="99" t="s">
        <v>2093</v>
      </c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ht="14.25" customHeight="1">
      <c r="A406" s="97">
        <f t="shared" si="2"/>
        <v>403</v>
      </c>
      <c r="B406" s="99">
        <v>2.2300024142E10</v>
      </c>
      <c r="C406" s="97" t="str">
        <f t="shared" si="1"/>
        <v>#N/A</v>
      </c>
      <c r="D406" s="99" t="s">
        <v>2094</v>
      </c>
      <c r="E406" s="99" t="s">
        <v>2095</v>
      </c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ht="14.25" customHeight="1">
      <c r="A407" s="97">
        <f t="shared" si="2"/>
        <v>404</v>
      </c>
      <c r="B407" s="99">
        <v>4.0228263782E10</v>
      </c>
      <c r="C407" s="97" t="str">
        <f t="shared" si="1"/>
        <v>#N/A</v>
      </c>
      <c r="D407" s="99" t="s">
        <v>2096</v>
      </c>
      <c r="E407" s="99" t="s">
        <v>2097</v>
      </c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ht="14.25" customHeight="1">
      <c r="A408" s="97">
        <f t="shared" si="2"/>
        <v>405</v>
      </c>
      <c r="B408" s="99">
        <v>4.0224437877E10</v>
      </c>
      <c r="C408" s="97" t="str">
        <f t="shared" si="1"/>
        <v>#N/A</v>
      </c>
      <c r="D408" s="99" t="s">
        <v>2098</v>
      </c>
      <c r="E408" s="99" t="s">
        <v>2099</v>
      </c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ht="14.25" customHeight="1">
      <c r="A409" s="97">
        <f t="shared" si="2"/>
        <v>406</v>
      </c>
      <c r="B409" s="99" t="s">
        <v>2100</v>
      </c>
      <c r="C409" s="97" t="str">
        <f t="shared" si="1"/>
        <v>#N/A</v>
      </c>
      <c r="D409" s="99" t="s">
        <v>2101</v>
      </c>
      <c r="E409" s="99" t="s">
        <v>2102</v>
      </c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ht="14.25" customHeight="1">
      <c r="A410" s="97">
        <f t="shared" si="2"/>
        <v>407</v>
      </c>
      <c r="B410" s="99">
        <v>2.2301428482E10</v>
      </c>
      <c r="C410" s="97" t="str">
        <f t="shared" si="1"/>
        <v>#N/A</v>
      </c>
      <c r="D410" s="99" t="s">
        <v>2103</v>
      </c>
      <c r="E410" s="99" t="s">
        <v>2104</v>
      </c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ht="14.25" customHeight="1">
      <c r="A411" s="97">
        <f t="shared" si="2"/>
        <v>408</v>
      </c>
      <c r="B411" s="99">
        <v>4.0223020856E10</v>
      </c>
      <c r="C411" s="97" t="str">
        <f t="shared" si="1"/>
        <v>#N/A</v>
      </c>
      <c r="D411" s="99" t="s">
        <v>2105</v>
      </c>
      <c r="E411" s="99" t="s">
        <v>2106</v>
      </c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ht="14.25" customHeight="1">
      <c r="A412" s="97">
        <f t="shared" si="2"/>
        <v>409</v>
      </c>
      <c r="B412" s="99">
        <v>4.0225866348E10</v>
      </c>
      <c r="C412" s="97" t="str">
        <f t="shared" si="1"/>
        <v>#N/A</v>
      </c>
      <c r="D412" s="99" t="s">
        <v>2107</v>
      </c>
      <c r="E412" s="99" t="s">
        <v>2108</v>
      </c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ht="14.25" customHeight="1">
      <c r="A413" s="97">
        <f t="shared" si="2"/>
        <v>410</v>
      </c>
      <c r="B413" s="99">
        <v>4.0227330459E10</v>
      </c>
      <c r="C413" s="97" t="str">
        <f t="shared" si="1"/>
        <v>#N/A</v>
      </c>
      <c r="D413" s="99" t="s">
        <v>2109</v>
      </c>
      <c r="E413" s="99" t="s">
        <v>2110</v>
      </c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ht="14.25" customHeight="1">
      <c r="A414" s="97">
        <f t="shared" si="2"/>
        <v>411</v>
      </c>
      <c r="B414" s="99">
        <v>2.2300491655E10</v>
      </c>
      <c r="C414" s="97" t="str">
        <f t="shared" si="1"/>
        <v>#N/A</v>
      </c>
      <c r="D414" s="99" t="s">
        <v>2111</v>
      </c>
      <c r="E414" s="99" t="s">
        <v>2112</v>
      </c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ht="14.25" customHeight="1">
      <c r="A415" s="97">
        <f t="shared" si="2"/>
        <v>412</v>
      </c>
      <c r="B415" s="99" t="s">
        <v>2113</v>
      </c>
      <c r="C415" s="97" t="str">
        <f t="shared" si="1"/>
        <v>#N/A</v>
      </c>
      <c r="D415" s="99" t="s">
        <v>2114</v>
      </c>
      <c r="E415" s="99" t="s">
        <v>2115</v>
      </c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ht="14.25" customHeight="1">
      <c r="A416" s="97">
        <f t="shared" si="2"/>
        <v>413</v>
      </c>
      <c r="B416" s="99" t="s">
        <v>2116</v>
      </c>
      <c r="C416" s="97" t="str">
        <f t="shared" si="1"/>
        <v>#N/A</v>
      </c>
      <c r="D416" s="99" t="s">
        <v>2117</v>
      </c>
      <c r="E416" s="99" t="s">
        <v>2118</v>
      </c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ht="14.25" customHeight="1">
      <c r="A417" s="97">
        <f t="shared" si="2"/>
        <v>414</v>
      </c>
      <c r="B417" s="99">
        <v>4.0221487958E10</v>
      </c>
      <c r="C417" s="97" t="str">
        <f t="shared" si="1"/>
        <v>#N/A</v>
      </c>
      <c r="D417" s="99" t="s">
        <v>2119</v>
      </c>
      <c r="E417" s="99" t="s">
        <v>2120</v>
      </c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ht="14.25" customHeight="1">
      <c r="A418" s="97">
        <f t="shared" si="2"/>
        <v>415</v>
      </c>
      <c r="B418" s="99" t="s">
        <v>2121</v>
      </c>
      <c r="C418" s="97" t="str">
        <f t="shared" si="1"/>
        <v>#N/A</v>
      </c>
      <c r="D418" s="99" t="s">
        <v>2122</v>
      </c>
      <c r="E418" s="99" t="s">
        <v>2123</v>
      </c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ht="14.25" customHeight="1">
      <c r="A419" s="97">
        <f t="shared" si="2"/>
        <v>416</v>
      </c>
      <c r="B419" s="99" t="s">
        <v>2124</v>
      </c>
      <c r="C419" s="97" t="str">
        <f t="shared" si="1"/>
        <v>#N/A</v>
      </c>
      <c r="D419" s="99" t="s">
        <v>2125</v>
      </c>
      <c r="E419" s="99" t="s">
        <v>2126</v>
      </c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ht="14.25" customHeight="1">
      <c r="A420" s="97">
        <f t="shared" si="2"/>
        <v>417</v>
      </c>
      <c r="B420" s="99" t="s">
        <v>2127</v>
      </c>
      <c r="C420" s="97" t="str">
        <f t="shared" si="1"/>
        <v>#N/A</v>
      </c>
      <c r="D420" s="99" t="s">
        <v>2128</v>
      </c>
      <c r="E420" s="99" t="s">
        <v>2093</v>
      </c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ht="14.25" customHeight="1">
      <c r="A421" s="97">
        <f t="shared" si="2"/>
        <v>418</v>
      </c>
      <c r="B421" s="99">
        <v>4.0238027524E10</v>
      </c>
      <c r="C421" s="97" t="str">
        <f t="shared" si="1"/>
        <v>#N/A</v>
      </c>
      <c r="D421" s="99" t="s">
        <v>2129</v>
      </c>
      <c r="E421" s="99" t="s">
        <v>2130</v>
      </c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ht="14.25" customHeight="1">
      <c r="A422" s="97">
        <f t="shared" si="2"/>
        <v>419</v>
      </c>
      <c r="B422" s="99" t="s">
        <v>2131</v>
      </c>
      <c r="C422" s="97" t="str">
        <f t="shared" si="1"/>
        <v>#N/A</v>
      </c>
      <c r="D422" s="99" t="s">
        <v>2132</v>
      </c>
      <c r="E422" s="99" t="s">
        <v>2133</v>
      </c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ht="14.25" customHeight="1">
      <c r="A423" s="97">
        <f t="shared" si="2"/>
        <v>420</v>
      </c>
      <c r="B423" s="99" t="s">
        <v>2134</v>
      </c>
      <c r="C423" s="97" t="str">
        <f t="shared" si="1"/>
        <v>#N/A</v>
      </c>
      <c r="D423" s="99" t="s">
        <v>2135</v>
      </c>
      <c r="E423" s="99" t="s">
        <v>2136</v>
      </c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ht="14.25" customHeight="1">
      <c r="A424" s="97">
        <f t="shared" si="2"/>
        <v>421</v>
      </c>
      <c r="B424" s="99" t="s">
        <v>2137</v>
      </c>
      <c r="C424" s="97" t="str">
        <f t="shared" si="1"/>
        <v>#N/A</v>
      </c>
      <c r="D424" s="99" t="s">
        <v>2138</v>
      </c>
      <c r="E424" s="99" t="s">
        <v>2139</v>
      </c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ht="14.25" customHeight="1">
      <c r="A425" s="97">
        <f t="shared" si="2"/>
        <v>422</v>
      </c>
      <c r="B425" s="99" t="s">
        <v>2140</v>
      </c>
      <c r="C425" s="97" t="str">
        <f t="shared" si="1"/>
        <v>#N/A</v>
      </c>
      <c r="D425" s="99" t="s">
        <v>2141</v>
      </c>
      <c r="E425" s="99" t="s">
        <v>2142</v>
      </c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ht="14.25" customHeight="1">
      <c r="A426" s="97">
        <f t="shared" si="2"/>
        <v>423</v>
      </c>
      <c r="B426" s="99" t="s">
        <v>2143</v>
      </c>
      <c r="C426" s="97" t="str">
        <f t="shared" si="1"/>
        <v>#N/A</v>
      </c>
      <c r="D426" s="99" t="s">
        <v>1988</v>
      </c>
      <c r="E426" s="99" t="s">
        <v>2144</v>
      </c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ht="14.25" customHeight="1">
      <c r="A427" s="97">
        <f t="shared" si="2"/>
        <v>424</v>
      </c>
      <c r="B427" s="99" t="s">
        <v>2145</v>
      </c>
      <c r="C427" s="97" t="str">
        <f t="shared" si="1"/>
        <v>#N/A</v>
      </c>
      <c r="D427" s="99" t="s">
        <v>2146</v>
      </c>
      <c r="E427" s="99" t="s">
        <v>2147</v>
      </c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ht="14.25" customHeight="1">
      <c r="A428" s="97">
        <f t="shared" si="2"/>
        <v>425</v>
      </c>
      <c r="B428" s="99" t="s">
        <v>2148</v>
      </c>
      <c r="C428" s="97" t="str">
        <f t="shared" si="1"/>
        <v>#N/A</v>
      </c>
      <c r="D428" s="99" t="s">
        <v>2149</v>
      </c>
      <c r="E428" s="99" t="s">
        <v>2150</v>
      </c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ht="14.25" customHeight="1">
      <c r="A429" s="97">
        <f t="shared" si="2"/>
        <v>426</v>
      </c>
      <c r="B429" s="99" t="s">
        <v>2151</v>
      </c>
      <c r="C429" s="97" t="str">
        <f t="shared" si="1"/>
        <v>#N/A</v>
      </c>
      <c r="D429" s="99" t="s">
        <v>1106</v>
      </c>
      <c r="E429" s="99" t="s">
        <v>2152</v>
      </c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ht="14.25" customHeight="1">
      <c r="A430" s="97">
        <f t="shared" si="2"/>
        <v>427</v>
      </c>
      <c r="B430" s="99" t="s">
        <v>2153</v>
      </c>
      <c r="C430" s="97" t="str">
        <f t="shared" si="1"/>
        <v>#N/A</v>
      </c>
      <c r="D430" s="99" t="s">
        <v>2154</v>
      </c>
      <c r="E430" s="99" t="s">
        <v>2155</v>
      </c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ht="14.25" customHeight="1">
      <c r="A431" s="97">
        <f t="shared" si="2"/>
        <v>428</v>
      </c>
      <c r="B431" s="99" t="s">
        <v>2156</v>
      </c>
      <c r="C431" s="97" t="str">
        <f t="shared" si="1"/>
        <v>#N/A</v>
      </c>
      <c r="D431" s="99" t="s">
        <v>2157</v>
      </c>
      <c r="E431" s="99" t="s">
        <v>1906</v>
      </c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ht="14.25" customHeight="1">
      <c r="A432" s="97">
        <f t="shared" si="2"/>
        <v>429</v>
      </c>
      <c r="B432" s="99">
        <v>4.022532428E10</v>
      </c>
      <c r="C432" s="97" t="str">
        <f t="shared" si="1"/>
        <v>#N/A</v>
      </c>
      <c r="D432" s="99" t="s">
        <v>2158</v>
      </c>
      <c r="E432" s="99" t="s">
        <v>2159</v>
      </c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ht="14.25" customHeight="1">
      <c r="A433" s="97">
        <f t="shared" si="2"/>
        <v>430</v>
      </c>
      <c r="B433" s="99" t="s">
        <v>2160</v>
      </c>
      <c r="C433" s="97" t="str">
        <f t="shared" si="1"/>
        <v>#N/A</v>
      </c>
      <c r="D433" s="99" t="s">
        <v>1106</v>
      </c>
      <c r="E433" s="99" t="s">
        <v>2161</v>
      </c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ht="14.25" customHeight="1">
      <c r="A434" s="97">
        <f t="shared" si="2"/>
        <v>431</v>
      </c>
      <c r="B434" s="99">
        <v>4.0224923421E10</v>
      </c>
      <c r="C434" s="97" t="str">
        <f t="shared" si="1"/>
        <v>#N/A</v>
      </c>
      <c r="D434" s="99" t="s">
        <v>2162</v>
      </c>
      <c r="E434" s="99" t="s">
        <v>2163</v>
      </c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ht="14.25" customHeight="1">
      <c r="A435" s="97">
        <f t="shared" si="2"/>
        <v>432</v>
      </c>
      <c r="B435" s="99">
        <v>4.0241348131E10</v>
      </c>
      <c r="C435" s="97" t="str">
        <f t="shared" si="1"/>
        <v>#N/A</v>
      </c>
      <c r="D435" s="99" t="s">
        <v>2164</v>
      </c>
      <c r="E435" s="99" t="s">
        <v>2165</v>
      </c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ht="14.25" customHeight="1">
      <c r="A436" s="97">
        <f t="shared" si="2"/>
        <v>433</v>
      </c>
      <c r="B436" s="99" t="s">
        <v>2166</v>
      </c>
      <c r="C436" s="97" t="str">
        <f t="shared" si="1"/>
        <v>#N/A</v>
      </c>
      <c r="D436" s="99" t="s">
        <v>2167</v>
      </c>
      <c r="E436" s="99" t="s">
        <v>2168</v>
      </c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ht="14.25" customHeight="1">
      <c r="A437" s="97">
        <f t="shared" si="2"/>
        <v>434</v>
      </c>
      <c r="B437" s="99">
        <v>2.2300282849E10</v>
      </c>
      <c r="C437" s="97" t="str">
        <f t="shared" si="1"/>
        <v>#N/A</v>
      </c>
      <c r="D437" s="99" t="s">
        <v>2169</v>
      </c>
      <c r="E437" s="99" t="s">
        <v>2170</v>
      </c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ht="14.25" customHeight="1">
      <c r="A438" s="97">
        <f t="shared" si="2"/>
        <v>435</v>
      </c>
      <c r="B438" s="99" t="s">
        <v>2171</v>
      </c>
      <c r="C438" s="97" t="str">
        <f t="shared" si="1"/>
        <v>#N/A</v>
      </c>
      <c r="D438" s="99" t="s">
        <v>2172</v>
      </c>
      <c r="E438" s="99" t="s">
        <v>2173</v>
      </c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ht="14.25" customHeight="1">
      <c r="A439" s="97">
        <f t="shared" si="2"/>
        <v>436</v>
      </c>
      <c r="B439" s="99">
        <v>4.0223763885E10</v>
      </c>
      <c r="C439" s="97" t="str">
        <f t="shared" si="1"/>
        <v>#N/A</v>
      </c>
      <c r="D439" s="99" t="s">
        <v>2174</v>
      </c>
      <c r="E439" s="99" t="s">
        <v>2175</v>
      </c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ht="14.25" customHeight="1">
      <c r="A440" s="97">
        <f t="shared" si="2"/>
        <v>437</v>
      </c>
      <c r="B440" s="99">
        <v>2.230112197E10</v>
      </c>
      <c r="C440" s="97" t="str">
        <f t="shared" si="1"/>
        <v>#N/A</v>
      </c>
      <c r="D440" s="99" t="s">
        <v>2176</v>
      </c>
      <c r="E440" s="99" t="s">
        <v>2177</v>
      </c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ht="14.25" customHeight="1">
      <c r="A441" s="97">
        <f t="shared" si="2"/>
        <v>438</v>
      </c>
      <c r="B441" s="99">
        <v>4.0224195764E10</v>
      </c>
      <c r="C441" s="97" t="str">
        <f t="shared" si="1"/>
        <v>#N/A</v>
      </c>
      <c r="D441" s="99" t="s">
        <v>2178</v>
      </c>
      <c r="E441" s="99" t="s">
        <v>2179</v>
      </c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ht="14.25" customHeight="1">
      <c r="A442" s="97">
        <f t="shared" si="2"/>
        <v>439</v>
      </c>
      <c r="B442" s="99">
        <v>4.0240887139E10</v>
      </c>
      <c r="C442" s="97" t="str">
        <f t="shared" si="1"/>
        <v>#N/A</v>
      </c>
      <c r="D442" s="99" t="s">
        <v>2180</v>
      </c>
      <c r="E442" s="99" t="s">
        <v>2181</v>
      </c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ht="14.25" customHeight="1">
      <c r="A443" s="97">
        <f t="shared" si="2"/>
        <v>440</v>
      </c>
      <c r="B443" s="99">
        <v>4.0212802512E10</v>
      </c>
      <c r="C443" s="97" t="str">
        <f t="shared" si="1"/>
        <v>#N/A</v>
      </c>
      <c r="D443" s="99" t="s">
        <v>2182</v>
      </c>
      <c r="E443" s="99" t="s">
        <v>2183</v>
      </c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ht="14.25" customHeight="1">
      <c r="A444" s="97">
        <f t="shared" si="2"/>
        <v>441</v>
      </c>
      <c r="B444" s="99">
        <v>2.2301422782E10</v>
      </c>
      <c r="C444" s="97" t="str">
        <f t="shared" si="1"/>
        <v>#N/A</v>
      </c>
      <c r="D444" s="99" t="s">
        <v>2184</v>
      </c>
      <c r="E444" s="99" t="s">
        <v>2185</v>
      </c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ht="14.25" customHeight="1">
      <c r="A445" s="97">
        <f t="shared" si="2"/>
        <v>442</v>
      </c>
      <c r="B445" s="99" t="s">
        <v>2186</v>
      </c>
      <c r="C445" s="97" t="str">
        <f t="shared" si="1"/>
        <v>#N/A</v>
      </c>
      <c r="D445" s="99" t="s">
        <v>2187</v>
      </c>
      <c r="E445" s="99" t="s">
        <v>2188</v>
      </c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ht="14.25" customHeight="1">
      <c r="A446" s="97">
        <f t="shared" si="2"/>
        <v>443</v>
      </c>
      <c r="B446" s="99" t="s">
        <v>2189</v>
      </c>
      <c r="C446" s="97" t="str">
        <f t="shared" si="1"/>
        <v>#N/A</v>
      </c>
      <c r="D446" s="99" t="s">
        <v>2190</v>
      </c>
      <c r="E446" s="99" t="s">
        <v>2191</v>
      </c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ht="14.25" customHeight="1">
      <c r="A447" s="97">
        <f t="shared" si="2"/>
        <v>444</v>
      </c>
      <c r="B447" s="99" t="s">
        <v>2192</v>
      </c>
      <c r="C447" s="97" t="str">
        <f t="shared" si="1"/>
        <v>#N/A</v>
      </c>
      <c r="D447" s="99" t="s">
        <v>2193</v>
      </c>
      <c r="E447" s="99" t="s">
        <v>2194</v>
      </c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ht="14.25" customHeight="1">
      <c r="A448" s="97">
        <f t="shared" si="2"/>
        <v>445</v>
      </c>
      <c r="B448" s="99" t="s">
        <v>2195</v>
      </c>
      <c r="C448" s="97" t="str">
        <f t="shared" si="1"/>
        <v>#N/A</v>
      </c>
      <c r="D448" s="99" t="s">
        <v>2196</v>
      </c>
      <c r="E448" s="99" t="s">
        <v>2197</v>
      </c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ht="14.25" customHeight="1">
      <c r="A449" s="97">
        <f t="shared" si="2"/>
        <v>446</v>
      </c>
      <c r="B449" s="99">
        <v>4.0221315977E10</v>
      </c>
      <c r="C449" s="97" t="str">
        <f t="shared" si="1"/>
        <v>#N/A</v>
      </c>
      <c r="D449" s="99" t="s">
        <v>2198</v>
      </c>
      <c r="E449" s="99" t="s">
        <v>2199</v>
      </c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ht="14.25" customHeight="1">
      <c r="A450" s="97">
        <f t="shared" si="2"/>
        <v>447</v>
      </c>
      <c r="B450" s="99" t="s">
        <v>2200</v>
      </c>
      <c r="C450" s="97" t="str">
        <f t="shared" si="1"/>
        <v>#N/A</v>
      </c>
      <c r="D450" s="99" t="s">
        <v>2201</v>
      </c>
      <c r="E450" s="99" t="s">
        <v>2202</v>
      </c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ht="14.25" customHeight="1">
      <c r="A451" s="97">
        <f t="shared" si="2"/>
        <v>448</v>
      </c>
      <c r="B451" s="99" t="s">
        <v>2203</v>
      </c>
      <c r="C451" s="97" t="str">
        <f t="shared" si="1"/>
        <v>#N/A</v>
      </c>
      <c r="D451" s="99" t="s">
        <v>2204</v>
      </c>
      <c r="E451" s="99" t="s">
        <v>2205</v>
      </c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ht="14.25" customHeight="1">
      <c r="A452" s="97">
        <f t="shared" si="2"/>
        <v>449</v>
      </c>
      <c r="B452" s="99" t="s">
        <v>2206</v>
      </c>
      <c r="C452" s="97" t="str">
        <f t="shared" si="1"/>
        <v>#N/A</v>
      </c>
      <c r="D452" s="99" t="s">
        <v>2207</v>
      </c>
      <c r="E452" s="99" t="s">
        <v>2208</v>
      </c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ht="14.25" customHeight="1">
      <c r="A453" s="97">
        <f t="shared" si="2"/>
        <v>450</v>
      </c>
      <c r="B453" s="99" t="s">
        <v>2209</v>
      </c>
      <c r="C453" s="97" t="str">
        <f t="shared" si="1"/>
        <v>#N/A</v>
      </c>
      <c r="D453" s="99" t="s">
        <v>2210</v>
      </c>
      <c r="E453" s="99" t="s">
        <v>2211</v>
      </c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ht="14.25" customHeight="1">
      <c r="A454" s="97">
        <f t="shared" si="2"/>
        <v>451</v>
      </c>
      <c r="B454" s="99">
        <v>4.0222715555E10</v>
      </c>
      <c r="C454" s="97" t="str">
        <f t="shared" si="1"/>
        <v>#N/A</v>
      </c>
      <c r="D454" s="99" t="s">
        <v>2212</v>
      </c>
      <c r="E454" s="99" t="s">
        <v>2213</v>
      </c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ht="14.25" customHeight="1">
      <c r="A455" s="97">
        <f t="shared" si="2"/>
        <v>452</v>
      </c>
      <c r="B455" s="99">
        <v>2.2500593284E10</v>
      </c>
      <c r="C455" s="97" t="str">
        <f t="shared" si="1"/>
        <v>#N/A</v>
      </c>
      <c r="D455" s="99" t="s">
        <v>2214</v>
      </c>
      <c r="E455" s="99" t="s">
        <v>2215</v>
      </c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ht="14.25" customHeight="1">
      <c r="A456" s="97">
        <f t="shared" si="2"/>
        <v>453</v>
      </c>
      <c r="B456" s="99">
        <v>4.0227978075E10</v>
      </c>
      <c r="C456" s="97" t="str">
        <f t="shared" si="1"/>
        <v>#N/A</v>
      </c>
      <c r="D456" s="99" t="s">
        <v>2216</v>
      </c>
      <c r="E456" s="99" t="s">
        <v>2217</v>
      </c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ht="14.25" customHeight="1">
      <c r="A457" s="97">
        <f t="shared" si="2"/>
        <v>454</v>
      </c>
      <c r="B457" s="99">
        <v>4.0221074533E10</v>
      </c>
      <c r="C457" s="97" t="str">
        <f t="shared" si="1"/>
        <v>#N/A</v>
      </c>
      <c r="D457" s="99" t="s">
        <v>2218</v>
      </c>
      <c r="E457" s="99" t="s">
        <v>2219</v>
      </c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ht="14.25" customHeight="1">
      <c r="A458" s="97">
        <f t="shared" si="2"/>
        <v>455</v>
      </c>
      <c r="B458" s="99">
        <v>4.0225167325E10</v>
      </c>
      <c r="C458" s="97" t="str">
        <f t="shared" si="1"/>
        <v>#N/A</v>
      </c>
      <c r="D458" s="99" t="s">
        <v>2220</v>
      </c>
      <c r="E458" s="99" t="s">
        <v>2221</v>
      </c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ht="14.25" customHeight="1">
      <c r="A459" s="97">
        <f t="shared" si="2"/>
        <v>456</v>
      </c>
      <c r="B459" s="99" t="s">
        <v>2222</v>
      </c>
      <c r="C459" s="97" t="str">
        <f t="shared" si="1"/>
        <v>#N/A</v>
      </c>
      <c r="D459" s="99" t="s">
        <v>2223</v>
      </c>
      <c r="E459" s="99" t="s">
        <v>2224</v>
      </c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ht="14.25" customHeight="1">
      <c r="A460" s="97">
        <f t="shared" si="2"/>
        <v>457</v>
      </c>
      <c r="B460" s="99" t="s">
        <v>2225</v>
      </c>
      <c r="C460" s="97" t="str">
        <f t="shared" si="1"/>
        <v>#N/A</v>
      </c>
      <c r="D460" s="99" t="s">
        <v>2226</v>
      </c>
      <c r="E460" s="99" t="s">
        <v>2219</v>
      </c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ht="14.25" customHeight="1">
      <c r="A461" s="97">
        <f t="shared" si="2"/>
        <v>458</v>
      </c>
      <c r="B461" s="99">
        <v>4.022153804E10</v>
      </c>
      <c r="C461" s="97" t="str">
        <f t="shared" si="1"/>
        <v>#N/A</v>
      </c>
      <c r="D461" s="99" t="s">
        <v>2227</v>
      </c>
      <c r="E461" s="99" t="s">
        <v>2228</v>
      </c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ht="14.25" customHeight="1">
      <c r="A462" s="97">
        <f t="shared" si="2"/>
        <v>459</v>
      </c>
      <c r="B462" s="99" t="s">
        <v>2229</v>
      </c>
      <c r="C462" s="97" t="str">
        <f t="shared" si="1"/>
        <v>#N/A</v>
      </c>
      <c r="D462" s="99" t="s">
        <v>2230</v>
      </c>
      <c r="E462" s="99" t="s">
        <v>2231</v>
      </c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ht="14.25" customHeight="1">
      <c r="A463" s="97">
        <f t="shared" si="2"/>
        <v>460</v>
      </c>
      <c r="B463" s="99">
        <v>4.0220161356E10</v>
      </c>
      <c r="C463" s="97" t="str">
        <f t="shared" si="1"/>
        <v>#N/A</v>
      </c>
      <c r="D463" s="99" t="s">
        <v>2232</v>
      </c>
      <c r="E463" s="99" t="s">
        <v>2233</v>
      </c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ht="14.25" customHeight="1">
      <c r="A464" s="97">
        <f t="shared" si="2"/>
        <v>461</v>
      </c>
      <c r="B464" s="99">
        <v>4.0200356455E10</v>
      </c>
      <c r="C464" s="97" t="str">
        <f t="shared" si="1"/>
        <v>#N/A</v>
      </c>
      <c r="D464" s="99" t="s">
        <v>2234</v>
      </c>
      <c r="E464" s="99" t="s">
        <v>2235</v>
      </c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ht="14.25" customHeight="1">
      <c r="A465" s="97">
        <f t="shared" si="2"/>
        <v>462</v>
      </c>
      <c r="B465" s="99" t="s">
        <v>2236</v>
      </c>
      <c r="C465" s="97" t="str">
        <f t="shared" si="1"/>
        <v>#N/A</v>
      </c>
      <c r="D465" s="99" t="s">
        <v>2237</v>
      </c>
      <c r="E465" s="99" t="s">
        <v>2238</v>
      </c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ht="14.25" customHeight="1">
      <c r="A466" s="97">
        <f t="shared" si="2"/>
        <v>463</v>
      </c>
      <c r="B466" s="99">
        <v>4.0225090436E10</v>
      </c>
      <c r="C466" s="97" t="str">
        <f t="shared" si="1"/>
        <v>#N/A</v>
      </c>
      <c r="D466" s="99" t="s">
        <v>2239</v>
      </c>
      <c r="E466" s="99" t="s">
        <v>2240</v>
      </c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ht="14.25" customHeight="1">
      <c r="A467" s="97">
        <f t="shared" si="2"/>
        <v>464</v>
      </c>
      <c r="B467" s="99" t="s">
        <v>2241</v>
      </c>
      <c r="C467" s="97" t="str">
        <f t="shared" si="1"/>
        <v>#N/A</v>
      </c>
      <c r="D467" s="99" t="s">
        <v>1173</v>
      </c>
      <c r="E467" s="99" t="s">
        <v>2095</v>
      </c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ht="14.25" customHeight="1">
      <c r="A468" s="97">
        <f t="shared" si="2"/>
        <v>465</v>
      </c>
      <c r="B468" s="99">
        <v>4.0223987666E10</v>
      </c>
      <c r="C468" s="97" t="str">
        <f t="shared" si="1"/>
        <v>#N/A</v>
      </c>
      <c r="D468" s="99" t="s">
        <v>2242</v>
      </c>
      <c r="E468" s="99" t="s">
        <v>2243</v>
      </c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ht="14.25" customHeight="1">
      <c r="A469" s="97">
        <f t="shared" si="2"/>
        <v>466</v>
      </c>
      <c r="B469" s="99" t="s">
        <v>2244</v>
      </c>
      <c r="C469" s="97" t="str">
        <f t="shared" si="1"/>
        <v>#N/A</v>
      </c>
      <c r="D469" s="99" t="s">
        <v>2245</v>
      </c>
      <c r="E469" s="99" t="s">
        <v>1953</v>
      </c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ht="14.25" customHeight="1">
      <c r="A470" s="97">
        <f t="shared" si="2"/>
        <v>467</v>
      </c>
      <c r="B470" s="99" t="s">
        <v>2246</v>
      </c>
      <c r="C470" s="97" t="str">
        <f t="shared" si="1"/>
        <v>#N/A</v>
      </c>
      <c r="D470" s="99" t="s">
        <v>2247</v>
      </c>
      <c r="E470" s="99" t="s">
        <v>2248</v>
      </c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ht="14.25" customHeight="1">
      <c r="A471" s="97">
        <f t="shared" si="2"/>
        <v>468</v>
      </c>
      <c r="B471" s="99" t="s">
        <v>2249</v>
      </c>
      <c r="C471" s="97" t="str">
        <f t="shared" si="1"/>
        <v>#N/A</v>
      </c>
      <c r="D471" s="99" t="s">
        <v>2250</v>
      </c>
      <c r="E471" s="99" t="s">
        <v>2251</v>
      </c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ht="14.25" customHeight="1">
      <c r="A472" s="97">
        <f t="shared" si="2"/>
        <v>469</v>
      </c>
      <c r="B472" s="99">
        <v>4.0235380736E10</v>
      </c>
      <c r="C472" s="97" t="str">
        <f t="shared" si="1"/>
        <v>#N/A</v>
      </c>
      <c r="D472" s="99" t="s">
        <v>2252</v>
      </c>
      <c r="E472" s="99" t="s">
        <v>2253</v>
      </c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ht="14.25" customHeight="1">
      <c r="A473" s="97">
        <f t="shared" si="2"/>
        <v>470</v>
      </c>
      <c r="B473" s="99">
        <v>2.2300147463E10</v>
      </c>
      <c r="C473" s="97" t="str">
        <f t="shared" si="1"/>
        <v>#N/A</v>
      </c>
      <c r="D473" s="99" t="s">
        <v>2254</v>
      </c>
      <c r="E473" s="99" t="s">
        <v>2255</v>
      </c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ht="14.25" customHeight="1">
      <c r="A474" s="97">
        <f t="shared" si="2"/>
        <v>471</v>
      </c>
      <c r="B474" s="99" t="s">
        <v>2256</v>
      </c>
      <c r="C474" s="97" t="str">
        <f t="shared" si="1"/>
        <v>#N/A</v>
      </c>
      <c r="D474" s="99" t="s">
        <v>2257</v>
      </c>
      <c r="E474" s="99" t="s">
        <v>2258</v>
      </c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ht="14.25" customHeight="1">
      <c r="A475" s="97">
        <f t="shared" si="2"/>
        <v>472</v>
      </c>
      <c r="B475" s="99">
        <v>4.0221690916E10</v>
      </c>
      <c r="C475" s="97" t="str">
        <f t="shared" si="1"/>
        <v>#N/A</v>
      </c>
      <c r="D475" s="99" t="s">
        <v>2259</v>
      </c>
      <c r="E475" s="99" t="s">
        <v>2260</v>
      </c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ht="14.25" customHeight="1">
      <c r="A476" s="97">
        <f t="shared" si="2"/>
        <v>473</v>
      </c>
      <c r="B476" s="99" t="s">
        <v>2261</v>
      </c>
      <c r="C476" s="97" t="str">
        <f t="shared" si="1"/>
        <v>#N/A</v>
      </c>
      <c r="D476" s="99" t="s">
        <v>1667</v>
      </c>
      <c r="E476" s="99" t="s">
        <v>2262</v>
      </c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ht="14.25" customHeight="1">
      <c r="A477" s="97">
        <f t="shared" si="2"/>
        <v>474</v>
      </c>
      <c r="B477" s="99">
        <v>4.0221361013E10</v>
      </c>
      <c r="C477" s="97" t="str">
        <f t="shared" si="1"/>
        <v>#N/A</v>
      </c>
      <c r="D477" s="99" t="s">
        <v>2263</v>
      </c>
      <c r="E477" s="99" t="s">
        <v>2264</v>
      </c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ht="14.25" customHeight="1">
      <c r="A478" s="97">
        <f t="shared" si="2"/>
        <v>475</v>
      </c>
      <c r="B478" s="99" t="s">
        <v>2265</v>
      </c>
      <c r="C478" s="97" t="str">
        <f t="shared" si="1"/>
        <v>#N/A</v>
      </c>
      <c r="D478" s="99" t="s">
        <v>2053</v>
      </c>
      <c r="E478" s="99" t="s">
        <v>2008</v>
      </c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ht="14.25" customHeight="1">
      <c r="A479" s="97">
        <f t="shared" si="2"/>
        <v>476</v>
      </c>
      <c r="B479" s="99">
        <v>1.0000062017E10</v>
      </c>
      <c r="C479" s="97" t="str">
        <f t="shared" si="1"/>
        <v>#N/A</v>
      </c>
      <c r="D479" s="99" t="s">
        <v>2266</v>
      </c>
      <c r="E479" s="99" t="s">
        <v>2267</v>
      </c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ht="14.25" customHeight="1">
      <c r="A480" s="97">
        <f t="shared" si="2"/>
        <v>477</v>
      </c>
      <c r="B480" s="99" t="s">
        <v>2268</v>
      </c>
      <c r="C480" s="97" t="str">
        <f t="shared" si="1"/>
        <v>#N/A</v>
      </c>
      <c r="D480" s="99" t="s">
        <v>2269</v>
      </c>
      <c r="E480" s="99" t="s">
        <v>2270</v>
      </c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ht="14.25" customHeight="1">
      <c r="A481" s="97">
        <f t="shared" si="2"/>
        <v>478</v>
      </c>
      <c r="B481" s="99">
        <v>2.2300966052E10</v>
      </c>
      <c r="C481" s="97" t="str">
        <f t="shared" si="1"/>
        <v>#N/A</v>
      </c>
      <c r="D481" s="99" t="s">
        <v>2271</v>
      </c>
      <c r="E481" s="99" t="s">
        <v>2272</v>
      </c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ht="14.25" customHeight="1">
      <c r="A482" s="97">
        <f t="shared" si="2"/>
        <v>479</v>
      </c>
      <c r="B482" s="99">
        <v>1.2800004579E10</v>
      </c>
      <c r="C482" s="97" t="str">
        <f t="shared" si="1"/>
        <v>#N/A</v>
      </c>
      <c r="D482" s="99" t="s">
        <v>2273</v>
      </c>
      <c r="E482" s="99" t="s">
        <v>2274</v>
      </c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ht="14.25" customHeight="1">
      <c r="A483" s="97">
        <f t="shared" si="2"/>
        <v>480</v>
      </c>
      <c r="B483" s="99">
        <v>4.0235230345E10</v>
      </c>
      <c r="C483" s="97" t="str">
        <f t="shared" si="1"/>
        <v>#N/A</v>
      </c>
      <c r="D483" s="99" t="s">
        <v>2275</v>
      </c>
      <c r="E483" s="99" t="s">
        <v>2276</v>
      </c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ht="14.25" customHeight="1">
      <c r="A484" s="97">
        <f t="shared" si="2"/>
        <v>481</v>
      </c>
      <c r="B484" s="99">
        <v>2.2301554691E10</v>
      </c>
      <c r="C484" s="97" t="str">
        <f t="shared" si="1"/>
        <v>#N/A</v>
      </c>
      <c r="D484" s="99" t="s">
        <v>2277</v>
      </c>
      <c r="E484" s="99" t="s">
        <v>2278</v>
      </c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ht="14.25" customHeight="1">
      <c r="A485" s="97">
        <f t="shared" si="2"/>
        <v>482</v>
      </c>
      <c r="B485" s="99" t="s">
        <v>2279</v>
      </c>
      <c r="C485" s="97" t="str">
        <f t="shared" si="1"/>
        <v>#N/A</v>
      </c>
      <c r="D485" s="99" t="s">
        <v>2280</v>
      </c>
      <c r="E485" s="99" t="s">
        <v>2281</v>
      </c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ht="14.25" customHeight="1">
      <c r="A486" s="97">
        <f t="shared" si="2"/>
        <v>483</v>
      </c>
      <c r="B486" s="99">
        <v>4.0224165437E10</v>
      </c>
      <c r="C486" s="97" t="str">
        <f t="shared" si="1"/>
        <v>#N/A</v>
      </c>
      <c r="D486" s="99" t="s">
        <v>2282</v>
      </c>
      <c r="E486" s="99" t="s">
        <v>2283</v>
      </c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ht="14.25" customHeight="1">
      <c r="A487" s="97">
        <f t="shared" si="2"/>
        <v>484</v>
      </c>
      <c r="B487" s="99">
        <v>4.0210527962E10</v>
      </c>
      <c r="C487" s="97" t="str">
        <f t="shared" si="1"/>
        <v>#N/A</v>
      </c>
      <c r="D487" s="99" t="s">
        <v>2284</v>
      </c>
      <c r="E487" s="99" t="s">
        <v>2285</v>
      </c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ht="14.25" customHeight="1">
      <c r="A488" s="97">
        <f t="shared" si="2"/>
        <v>485</v>
      </c>
      <c r="B488" s="99" t="s">
        <v>2286</v>
      </c>
      <c r="C488" s="97" t="str">
        <f t="shared" si="1"/>
        <v>#N/A</v>
      </c>
      <c r="D488" s="99" t="s">
        <v>2287</v>
      </c>
      <c r="E488" s="99" t="s">
        <v>2288</v>
      </c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ht="14.25" customHeight="1">
      <c r="A489" s="97">
        <f t="shared" si="2"/>
        <v>486</v>
      </c>
      <c r="B489" s="99" t="s">
        <v>2289</v>
      </c>
      <c r="C489" s="97" t="str">
        <f t="shared" si="1"/>
        <v>#N/A</v>
      </c>
      <c r="D489" s="99" t="s">
        <v>1171</v>
      </c>
      <c r="E489" s="99" t="s">
        <v>2290</v>
      </c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ht="14.25" customHeight="1">
      <c r="A490" s="97">
        <f t="shared" si="2"/>
        <v>487</v>
      </c>
      <c r="B490" s="99">
        <v>4.0225167622E10</v>
      </c>
      <c r="C490" s="97" t="str">
        <f t="shared" si="1"/>
        <v>#N/A</v>
      </c>
      <c r="D490" s="99" t="s">
        <v>2291</v>
      </c>
      <c r="E490" s="99" t="s">
        <v>2292</v>
      </c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ht="14.25" customHeight="1">
      <c r="A491" s="97">
        <f t="shared" si="2"/>
        <v>488</v>
      </c>
      <c r="B491" s="99">
        <v>4.0222311983E10</v>
      </c>
      <c r="C491" s="97" t="str">
        <f t="shared" si="1"/>
        <v>#N/A</v>
      </c>
      <c r="D491" s="99" t="s">
        <v>2293</v>
      </c>
      <c r="E491" s="99" t="s">
        <v>2294</v>
      </c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ht="14.25" customHeight="1">
      <c r="A492" s="97">
        <f t="shared" si="2"/>
        <v>489</v>
      </c>
      <c r="B492" s="99">
        <v>2.2300363748E10</v>
      </c>
      <c r="C492" s="97" t="str">
        <f t="shared" si="1"/>
        <v>#N/A</v>
      </c>
      <c r="D492" s="99" t="s">
        <v>2295</v>
      </c>
      <c r="E492" s="99" t="s">
        <v>2296</v>
      </c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ht="14.25" customHeight="1">
      <c r="A493" s="97">
        <f t="shared" si="2"/>
        <v>490</v>
      </c>
      <c r="B493" s="99" t="s">
        <v>2297</v>
      </c>
      <c r="C493" s="97" t="str">
        <f t="shared" si="1"/>
        <v>#N/A</v>
      </c>
      <c r="D493" s="99" t="s">
        <v>2298</v>
      </c>
      <c r="E493" s="99" t="s">
        <v>2299</v>
      </c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ht="14.25" customHeight="1">
      <c r="A494" s="97">
        <f t="shared" si="2"/>
        <v>491</v>
      </c>
      <c r="B494" s="99">
        <v>4.0226167787E10</v>
      </c>
      <c r="C494" s="97" t="str">
        <f t="shared" si="1"/>
        <v>#N/A</v>
      </c>
      <c r="D494" s="99" t="s">
        <v>2300</v>
      </c>
      <c r="E494" s="99" t="s">
        <v>2301</v>
      </c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ht="14.25" customHeight="1">
      <c r="A495" s="97">
        <f t="shared" si="2"/>
        <v>492</v>
      </c>
      <c r="B495" s="99" t="s">
        <v>2302</v>
      </c>
      <c r="C495" s="97" t="str">
        <f t="shared" si="1"/>
        <v>#N/A</v>
      </c>
      <c r="D495" s="99" t="s">
        <v>2303</v>
      </c>
      <c r="E495" s="99" t="s">
        <v>2304</v>
      </c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ht="14.25" customHeight="1">
      <c r="A496" s="97">
        <f t="shared" si="2"/>
        <v>493</v>
      </c>
      <c r="B496" s="99" t="s">
        <v>2305</v>
      </c>
      <c r="C496" s="97" t="str">
        <f t="shared" si="1"/>
        <v>#N/A</v>
      </c>
      <c r="D496" s="99" t="s">
        <v>2306</v>
      </c>
      <c r="E496" s="99" t="s">
        <v>2307</v>
      </c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ht="14.25" customHeight="1">
      <c r="A497" s="97">
        <f t="shared" si="2"/>
        <v>494</v>
      </c>
      <c r="B497" s="99" t="s">
        <v>2308</v>
      </c>
      <c r="C497" s="97" t="str">
        <f t="shared" si="1"/>
        <v>#N/A</v>
      </c>
      <c r="D497" s="99" t="s">
        <v>1617</v>
      </c>
      <c r="E497" s="99" t="s">
        <v>2309</v>
      </c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ht="14.25" customHeight="1">
      <c r="A498" s="97">
        <f t="shared" si="2"/>
        <v>495</v>
      </c>
      <c r="B498" s="99" t="s">
        <v>2310</v>
      </c>
      <c r="C498" s="97" t="str">
        <f t="shared" si="1"/>
        <v>#N/A</v>
      </c>
      <c r="D498" s="99" t="s">
        <v>2311</v>
      </c>
      <c r="E498" s="99" t="s">
        <v>2312</v>
      </c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ht="14.25" customHeight="1">
      <c r="A499" s="97">
        <f t="shared" si="2"/>
        <v>496</v>
      </c>
      <c r="B499" s="99" t="s">
        <v>2313</v>
      </c>
      <c r="C499" s="97" t="str">
        <f t="shared" si="1"/>
        <v>#N/A</v>
      </c>
      <c r="D499" s="99" t="s">
        <v>2314</v>
      </c>
      <c r="E499" s="99" t="s">
        <v>2315</v>
      </c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ht="14.25" customHeight="1">
      <c r="A500" s="97">
        <f t="shared" si="2"/>
        <v>497</v>
      </c>
      <c r="B500" s="99">
        <v>2.2300400557E10</v>
      </c>
      <c r="C500" s="97" t="str">
        <f t="shared" si="1"/>
        <v>#N/A</v>
      </c>
      <c r="D500" s="99" t="s">
        <v>2316</v>
      </c>
      <c r="E500" s="99" t="s">
        <v>2317</v>
      </c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ht="14.25" customHeight="1">
      <c r="A501" s="97">
        <f t="shared" si="2"/>
        <v>498</v>
      </c>
      <c r="B501" s="99" t="s">
        <v>2318</v>
      </c>
      <c r="C501" s="97" t="str">
        <f t="shared" si="1"/>
        <v>#N/A</v>
      </c>
      <c r="D501" s="99" t="s">
        <v>2319</v>
      </c>
      <c r="E501" s="99" t="s">
        <v>2320</v>
      </c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ht="14.25" customHeight="1">
      <c r="A502" s="97">
        <f t="shared" si="2"/>
        <v>499</v>
      </c>
      <c r="B502" s="99">
        <v>4.0234571582E10</v>
      </c>
      <c r="C502" s="97" t="str">
        <f t="shared" si="1"/>
        <v>#N/A</v>
      </c>
      <c r="D502" s="99" t="s">
        <v>2321</v>
      </c>
      <c r="E502" s="99" t="s">
        <v>2322</v>
      </c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ht="14.25" customHeight="1">
      <c r="A503" s="97">
        <f t="shared" si="2"/>
        <v>500</v>
      </c>
      <c r="B503" s="99">
        <v>2.2301208595E10</v>
      </c>
      <c r="C503" s="97" t="str">
        <f t="shared" si="1"/>
        <v>#N/A</v>
      </c>
      <c r="D503" s="99" t="s">
        <v>2323</v>
      </c>
      <c r="E503" s="99" t="s">
        <v>2324</v>
      </c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ht="14.25" customHeight="1">
      <c r="A504" s="97">
        <f t="shared" si="2"/>
        <v>501</v>
      </c>
      <c r="B504" s="99">
        <v>2.2301613703E10</v>
      </c>
      <c r="C504" s="97" t="str">
        <f t="shared" si="1"/>
        <v>#N/A</v>
      </c>
      <c r="D504" s="99" t="s">
        <v>2325</v>
      </c>
      <c r="E504" s="99" t="s">
        <v>2326</v>
      </c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ht="14.25" customHeight="1">
      <c r="A505" s="97">
        <f t="shared" si="2"/>
        <v>502</v>
      </c>
      <c r="B505" s="99">
        <v>4.023906983E10</v>
      </c>
      <c r="C505" s="97" t="str">
        <f t="shared" si="1"/>
        <v>#N/A</v>
      </c>
      <c r="D505" s="99" t="s">
        <v>2327</v>
      </c>
      <c r="E505" s="99" t="s">
        <v>1694</v>
      </c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ht="14.25" customHeight="1">
      <c r="A506" s="97">
        <f t="shared" si="2"/>
        <v>503</v>
      </c>
      <c r="B506" s="99" t="s">
        <v>2328</v>
      </c>
      <c r="C506" s="97" t="str">
        <f t="shared" si="1"/>
        <v>#N/A</v>
      </c>
      <c r="D506" s="99" t="s">
        <v>2329</v>
      </c>
      <c r="E506" s="99" t="s">
        <v>2330</v>
      </c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ht="14.25" customHeight="1">
      <c r="A507" s="97"/>
      <c r="B507" s="99"/>
      <c r="C507" s="99"/>
      <c r="D507" s="99"/>
      <c r="E507" s="99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ht="14.25" customHeight="1">
      <c r="A508" s="97"/>
      <c r="B508" s="99"/>
      <c r="C508" s="99"/>
      <c r="D508" s="99"/>
      <c r="E508" s="99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ht="14.25" customHeight="1">
      <c r="A509" s="97"/>
      <c r="B509" s="99"/>
      <c r="C509" s="99"/>
      <c r="D509" s="99"/>
      <c r="E509" s="99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ht="14.25" customHeight="1">
      <c r="A510" s="97"/>
      <c r="B510" s="99"/>
      <c r="C510" s="99"/>
      <c r="D510" s="99"/>
      <c r="E510" s="99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ht="14.25" customHeight="1">
      <c r="A511" s="97"/>
      <c r="B511" s="99"/>
      <c r="C511" s="99"/>
      <c r="D511" s="99"/>
      <c r="E511" s="99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ht="14.25" customHeight="1">
      <c r="A512" s="97"/>
      <c r="B512" s="99"/>
      <c r="C512" s="99"/>
      <c r="D512" s="99"/>
      <c r="E512" s="99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ht="14.25" customHeight="1">
      <c r="A513" s="97"/>
      <c r="B513" s="99"/>
      <c r="C513" s="99"/>
      <c r="D513" s="99"/>
      <c r="E513" s="99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ht="14.25" customHeight="1">
      <c r="A514" s="97"/>
      <c r="B514" s="99"/>
      <c r="C514" s="99"/>
      <c r="D514" s="99"/>
      <c r="E514" s="99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ht="14.25" customHeight="1">
      <c r="A515" s="97"/>
      <c r="B515" s="99"/>
      <c r="C515" s="99"/>
      <c r="D515" s="99"/>
      <c r="E515" s="99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ht="14.25" customHeight="1">
      <c r="A516" s="97"/>
      <c r="B516" s="99"/>
      <c r="C516" s="99"/>
      <c r="D516" s="99"/>
      <c r="E516" s="99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ht="14.25" customHeight="1">
      <c r="A517" s="97"/>
      <c r="B517" s="99"/>
      <c r="C517" s="99"/>
      <c r="D517" s="99"/>
      <c r="E517" s="99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ht="14.25" customHeight="1">
      <c r="A518" s="97"/>
      <c r="B518" s="99"/>
      <c r="C518" s="99"/>
      <c r="D518" s="99"/>
      <c r="E518" s="99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ht="14.25" customHeight="1">
      <c r="A519" s="97"/>
      <c r="B519" s="99"/>
      <c r="C519" s="99"/>
      <c r="D519" s="99"/>
      <c r="E519" s="99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ht="14.25" customHeight="1">
      <c r="A520" s="97"/>
      <c r="B520" s="99"/>
      <c r="C520" s="99"/>
      <c r="D520" s="99"/>
      <c r="E520" s="99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ht="14.25" customHeight="1">
      <c r="A521" s="97"/>
      <c r="B521" s="99"/>
      <c r="C521" s="99"/>
      <c r="D521" s="99"/>
      <c r="E521" s="99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ht="14.25" customHeight="1">
      <c r="A522" s="97"/>
      <c r="B522" s="99"/>
      <c r="C522" s="99"/>
      <c r="D522" s="99"/>
      <c r="E522" s="99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ht="14.25" customHeight="1">
      <c r="A523" s="97"/>
      <c r="B523" s="99"/>
      <c r="C523" s="99"/>
      <c r="D523" s="99"/>
      <c r="E523" s="99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ht="14.25" customHeight="1">
      <c r="A524" s="97"/>
      <c r="B524" s="99"/>
      <c r="C524" s="99"/>
      <c r="D524" s="99"/>
      <c r="E524" s="99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ht="14.25" customHeight="1">
      <c r="A525" s="97"/>
      <c r="B525" s="99"/>
      <c r="C525" s="99"/>
      <c r="D525" s="99"/>
      <c r="E525" s="99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ht="14.25" customHeight="1">
      <c r="A526" s="97"/>
      <c r="B526" s="99"/>
      <c r="C526" s="99"/>
      <c r="D526" s="99"/>
      <c r="E526" s="99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ht="14.25" customHeight="1">
      <c r="A527" s="97"/>
      <c r="B527" s="99"/>
      <c r="C527" s="99"/>
      <c r="D527" s="99"/>
      <c r="E527" s="99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ht="14.25" customHeight="1">
      <c r="A528" s="97"/>
      <c r="B528" s="99"/>
      <c r="C528" s="99"/>
      <c r="D528" s="99"/>
      <c r="E528" s="99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ht="14.25" customHeight="1">
      <c r="A529" s="97"/>
      <c r="B529" s="99"/>
      <c r="C529" s="99"/>
      <c r="D529" s="99"/>
      <c r="E529" s="99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ht="14.25" customHeight="1">
      <c r="A530" s="97"/>
      <c r="B530" s="99"/>
      <c r="C530" s="99"/>
      <c r="D530" s="99"/>
      <c r="E530" s="99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ht="14.25" customHeight="1">
      <c r="A531" s="97"/>
      <c r="B531" s="99"/>
      <c r="C531" s="99"/>
      <c r="D531" s="99"/>
      <c r="E531" s="99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ht="14.25" customHeight="1">
      <c r="A532" s="97"/>
      <c r="B532" s="99"/>
      <c r="C532" s="99"/>
      <c r="D532" s="99"/>
      <c r="E532" s="99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ht="14.25" customHeight="1">
      <c r="A533" s="97"/>
      <c r="B533" s="99"/>
      <c r="C533" s="99"/>
      <c r="D533" s="99"/>
      <c r="E533" s="99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ht="14.25" customHeight="1">
      <c r="A534" s="97"/>
      <c r="B534" s="99"/>
      <c r="C534" s="99"/>
      <c r="D534" s="99"/>
      <c r="E534" s="99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ht="14.25" customHeight="1">
      <c r="A535" s="97"/>
      <c r="B535" s="99"/>
      <c r="C535" s="99"/>
      <c r="D535" s="99"/>
      <c r="E535" s="99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ht="14.25" customHeight="1">
      <c r="A536" s="97"/>
      <c r="B536" s="99"/>
      <c r="C536" s="99"/>
      <c r="D536" s="99"/>
      <c r="E536" s="99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ht="14.25" customHeight="1">
      <c r="A537" s="97"/>
      <c r="B537" s="99"/>
      <c r="C537" s="99"/>
      <c r="D537" s="99"/>
      <c r="E537" s="99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ht="14.25" customHeight="1">
      <c r="A538" s="97"/>
      <c r="B538" s="99"/>
      <c r="C538" s="99"/>
      <c r="D538" s="99"/>
      <c r="E538" s="99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ht="14.25" customHeight="1">
      <c r="A539" s="97"/>
      <c r="B539" s="99"/>
      <c r="C539" s="99"/>
      <c r="D539" s="99"/>
      <c r="E539" s="99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ht="14.25" customHeight="1">
      <c r="A540" s="97"/>
      <c r="B540" s="99"/>
      <c r="C540" s="99"/>
      <c r="D540" s="99"/>
      <c r="E540" s="99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ht="14.25" customHeight="1">
      <c r="A541" s="97"/>
      <c r="B541" s="99"/>
      <c r="C541" s="99"/>
      <c r="D541" s="99"/>
      <c r="E541" s="99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ht="14.25" customHeight="1">
      <c r="A542" s="97"/>
      <c r="B542" s="99"/>
      <c r="C542" s="99"/>
      <c r="D542" s="99"/>
      <c r="E542" s="99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ht="14.25" customHeight="1">
      <c r="A543" s="97"/>
      <c r="B543" s="99"/>
      <c r="C543" s="99"/>
      <c r="D543" s="99"/>
      <c r="E543" s="99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ht="14.25" customHeight="1">
      <c r="A544" s="97"/>
      <c r="B544" s="99"/>
      <c r="C544" s="99"/>
      <c r="D544" s="99"/>
      <c r="E544" s="99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ht="14.25" customHeight="1">
      <c r="A545" s="97"/>
      <c r="B545" s="99"/>
      <c r="C545" s="99"/>
      <c r="D545" s="99"/>
      <c r="E545" s="99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ht="14.25" customHeight="1">
      <c r="A546" s="97"/>
      <c r="B546" s="99"/>
      <c r="C546" s="99"/>
      <c r="D546" s="99"/>
      <c r="E546" s="99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ht="14.25" customHeight="1">
      <c r="A547" s="97"/>
      <c r="B547" s="99"/>
      <c r="C547" s="99"/>
      <c r="D547" s="99"/>
      <c r="E547" s="99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ht="14.25" customHeight="1">
      <c r="A548" s="97"/>
      <c r="B548" s="99"/>
      <c r="C548" s="99"/>
      <c r="D548" s="99"/>
      <c r="E548" s="99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ht="14.25" customHeight="1">
      <c r="A549" s="97"/>
      <c r="B549" s="99"/>
      <c r="C549" s="99"/>
      <c r="D549" s="99"/>
      <c r="E549" s="99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ht="14.25" customHeight="1">
      <c r="A550" s="97"/>
      <c r="B550" s="99"/>
      <c r="C550" s="99"/>
      <c r="D550" s="99"/>
      <c r="E550" s="99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ht="14.25" customHeight="1">
      <c r="A551" s="97"/>
      <c r="B551" s="99"/>
      <c r="C551" s="99"/>
      <c r="D551" s="99"/>
      <c r="E551" s="99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ht="14.25" customHeight="1">
      <c r="A552" s="97"/>
      <c r="B552" s="99"/>
      <c r="C552" s="99"/>
      <c r="D552" s="99"/>
      <c r="E552" s="99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ht="14.25" customHeight="1">
      <c r="A553" s="97"/>
      <c r="B553" s="99"/>
      <c r="C553" s="99"/>
      <c r="D553" s="99"/>
      <c r="E553" s="99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ht="14.25" customHeight="1">
      <c r="A554" s="97"/>
      <c r="B554" s="99"/>
      <c r="C554" s="99"/>
      <c r="D554" s="99"/>
      <c r="E554" s="99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ht="14.25" customHeight="1">
      <c r="A555" s="97"/>
      <c r="B555" s="99"/>
      <c r="C555" s="99"/>
      <c r="D555" s="99"/>
      <c r="E555" s="99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ht="14.25" customHeight="1">
      <c r="A556" s="97"/>
      <c r="B556" s="99"/>
      <c r="C556" s="99"/>
      <c r="D556" s="99"/>
      <c r="E556" s="99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ht="14.25" customHeight="1">
      <c r="A557" s="97"/>
      <c r="B557" s="99"/>
      <c r="C557" s="99"/>
      <c r="D557" s="99"/>
      <c r="E557" s="99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ht="14.25" customHeight="1">
      <c r="A558" s="97"/>
      <c r="B558" s="99"/>
      <c r="C558" s="99"/>
      <c r="D558" s="99"/>
      <c r="E558" s="99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ht="14.25" customHeight="1">
      <c r="A559" s="97"/>
      <c r="B559" s="99"/>
      <c r="C559" s="99"/>
      <c r="D559" s="99"/>
      <c r="E559" s="99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ht="14.25" customHeight="1">
      <c r="A560" s="97"/>
      <c r="B560" s="99"/>
      <c r="C560" s="99"/>
      <c r="D560" s="99"/>
      <c r="E560" s="99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ht="14.25" customHeight="1">
      <c r="A561" s="97"/>
      <c r="B561" s="99"/>
      <c r="C561" s="99"/>
      <c r="D561" s="99"/>
      <c r="E561" s="99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ht="14.25" customHeight="1">
      <c r="A562" s="97"/>
      <c r="B562" s="99"/>
      <c r="C562" s="99"/>
      <c r="D562" s="99"/>
      <c r="E562" s="99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ht="14.25" customHeight="1">
      <c r="A563" s="97"/>
      <c r="B563" s="99"/>
      <c r="C563" s="99"/>
      <c r="D563" s="99"/>
      <c r="E563" s="99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ht="14.25" customHeight="1">
      <c r="A564" s="97"/>
      <c r="B564" s="99"/>
      <c r="C564" s="99"/>
      <c r="D564" s="99"/>
      <c r="E564" s="99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ht="14.25" customHeight="1">
      <c r="A565" s="97"/>
      <c r="B565" s="99"/>
      <c r="C565" s="99"/>
      <c r="D565" s="99"/>
      <c r="E565" s="99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ht="14.25" customHeight="1">
      <c r="A566" s="97"/>
      <c r="B566" s="99"/>
      <c r="C566" s="99"/>
      <c r="D566" s="99"/>
      <c r="E566" s="99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ht="14.25" customHeight="1">
      <c r="A567" s="97"/>
      <c r="B567" s="99"/>
      <c r="C567" s="99"/>
      <c r="D567" s="99"/>
      <c r="E567" s="99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ht="14.25" customHeight="1">
      <c r="A568" s="97"/>
      <c r="B568" s="99"/>
      <c r="C568" s="99"/>
      <c r="D568" s="99"/>
      <c r="E568" s="99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ht="14.25" customHeight="1">
      <c r="A569" s="97"/>
      <c r="B569" s="99"/>
      <c r="C569" s="99"/>
      <c r="D569" s="99"/>
      <c r="E569" s="99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ht="14.25" customHeight="1">
      <c r="A570" s="97"/>
      <c r="B570" s="99"/>
      <c r="C570" s="99"/>
      <c r="D570" s="99"/>
      <c r="E570" s="99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ht="14.25" customHeight="1">
      <c r="A571" s="97"/>
      <c r="B571" s="99"/>
      <c r="C571" s="99"/>
      <c r="D571" s="99"/>
      <c r="E571" s="99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ht="14.25" customHeight="1">
      <c r="A572" s="97"/>
      <c r="B572" s="99"/>
      <c r="C572" s="99"/>
      <c r="D572" s="99"/>
      <c r="E572" s="99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ht="14.25" customHeight="1">
      <c r="A573" s="97"/>
      <c r="B573" s="99"/>
      <c r="C573" s="99"/>
      <c r="D573" s="99"/>
      <c r="E573" s="99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ht="14.25" customHeight="1">
      <c r="A574" s="97"/>
      <c r="B574" s="99"/>
      <c r="C574" s="99"/>
      <c r="D574" s="99"/>
      <c r="E574" s="99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ht="14.25" customHeight="1">
      <c r="A575" s="97"/>
      <c r="B575" s="99"/>
      <c r="C575" s="99"/>
      <c r="D575" s="99"/>
      <c r="E575" s="99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ht="14.25" customHeight="1">
      <c r="A576" s="97"/>
      <c r="B576" s="99"/>
      <c r="C576" s="99"/>
      <c r="D576" s="99"/>
      <c r="E576" s="99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ht="14.25" customHeight="1">
      <c r="A577" s="97"/>
      <c r="B577" s="99"/>
      <c r="C577" s="99"/>
      <c r="D577" s="99"/>
      <c r="E577" s="99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ht="14.25" customHeight="1">
      <c r="A578" s="97"/>
      <c r="B578" s="99"/>
      <c r="C578" s="99"/>
      <c r="D578" s="99"/>
      <c r="E578" s="99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ht="14.25" customHeight="1">
      <c r="A579" s="97"/>
      <c r="B579" s="99"/>
      <c r="C579" s="99"/>
      <c r="D579" s="99"/>
      <c r="E579" s="99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ht="14.25" customHeight="1">
      <c r="A580" s="97"/>
      <c r="B580" s="99"/>
      <c r="C580" s="99"/>
      <c r="D580" s="99"/>
      <c r="E580" s="99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ht="14.25" customHeight="1">
      <c r="A581" s="97"/>
      <c r="B581" s="99"/>
      <c r="C581" s="99"/>
      <c r="D581" s="99"/>
      <c r="E581" s="99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ht="14.25" customHeight="1">
      <c r="A582" s="97"/>
      <c r="B582" s="99"/>
      <c r="C582" s="99"/>
      <c r="D582" s="99"/>
      <c r="E582" s="99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ht="14.25" customHeight="1">
      <c r="A583" s="97"/>
      <c r="B583" s="99"/>
      <c r="C583" s="99"/>
      <c r="D583" s="99"/>
      <c r="E583" s="99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ht="14.25" customHeight="1">
      <c r="A584" s="97"/>
      <c r="B584" s="99"/>
      <c r="C584" s="99"/>
      <c r="D584" s="99"/>
      <c r="E584" s="99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ht="14.25" customHeight="1">
      <c r="A585" s="97"/>
      <c r="B585" s="99"/>
      <c r="C585" s="99"/>
      <c r="D585" s="99"/>
      <c r="E585" s="99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ht="14.25" customHeight="1">
      <c r="A586" s="97"/>
      <c r="B586" s="99"/>
      <c r="C586" s="99"/>
      <c r="D586" s="99"/>
      <c r="E586" s="99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ht="14.25" customHeight="1">
      <c r="A587" s="97"/>
      <c r="B587" s="99"/>
      <c r="C587" s="99"/>
      <c r="D587" s="99"/>
      <c r="E587" s="99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ht="14.25" customHeight="1">
      <c r="A588" s="97"/>
      <c r="B588" s="99"/>
      <c r="C588" s="99"/>
      <c r="D588" s="99"/>
      <c r="E588" s="99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ht="14.25" customHeight="1">
      <c r="A589" s="97"/>
      <c r="B589" s="99"/>
      <c r="C589" s="99"/>
      <c r="D589" s="99"/>
      <c r="E589" s="99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ht="14.25" customHeight="1">
      <c r="A590" s="97"/>
      <c r="B590" s="99"/>
      <c r="C590" s="99"/>
      <c r="D590" s="99"/>
      <c r="E590" s="99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ht="14.25" customHeight="1">
      <c r="A591" s="97"/>
      <c r="B591" s="99"/>
      <c r="C591" s="99"/>
      <c r="D591" s="99"/>
      <c r="E591" s="99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ht="14.25" customHeight="1">
      <c r="A592" s="97"/>
      <c r="B592" s="99"/>
      <c r="C592" s="99"/>
      <c r="D592" s="99"/>
      <c r="E592" s="99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ht="14.25" customHeight="1">
      <c r="A593" s="97"/>
      <c r="B593" s="99"/>
      <c r="C593" s="99"/>
      <c r="D593" s="99"/>
      <c r="E593" s="99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ht="14.25" customHeight="1">
      <c r="A594" s="97"/>
      <c r="B594" s="99"/>
      <c r="C594" s="99"/>
      <c r="D594" s="99"/>
      <c r="E594" s="99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ht="14.25" customHeight="1">
      <c r="A595" s="97"/>
      <c r="B595" s="99"/>
      <c r="C595" s="99"/>
      <c r="D595" s="99"/>
      <c r="E595" s="99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ht="14.25" customHeight="1">
      <c r="A596" s="97"/>
      <c r="B596" s="99"/>
      <c r="C596" s="99"/>
      <c r="D596" s="99"/>
      <c r="E596" s="99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ht="14.25" customHeight="1">
      <c r="A597" s="97"/>
      <c r="B597" s="99"/>
      <c r="C597" s="99"/>
      <c r="D597" s="99"/>
      <c r="E597" s="99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ht="14.25" customHeight="1">
      <c r="A598" s="97"/>
      <c r="B598" s="99"/>
      <c r="C598" s="99"/>
      <c r="D598" s="99"/>
      <c r="E598" s="99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ht="14.25" customHeight="1">
      <c r="A599" s="97"/>
      <c r="B599" s="99"/>
      <c r="C599" s="99"/>
      <c r="D599" s="99"/>
      <c r="E599" s="99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ht="14.25" customHeight="1">
      <c r="A600" s="97"/>
      <c r="B600" s="99"/>
      <c r="C600" s="99"/>
      <c r="D600" s="99"/>
      <c r="E600" s="99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ht="14.25" customHeight="1">
      <c r="A601" s="97"/>
      <c r="B601" s="99"/>
      <c r="C601" s="99"/>
      <c r="D601" s="99"/>
      <c r="E601" s="99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ht="14.25" customHeight="1">
      <c r="A602" s="97"/>
      <c r="B602" s="99"/>
      <c r="C602" s="99"/>
      <c r="D602" s="99"/>
      <c r="E602" s="99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ht="14.25" customHeight="1">
      <c r="A603" s="97"/>
      <c r="B603" s="99"/>
      <c r="C603" s="99"/>
      <c r="D603" s="99"/>
      <c r="E603" s="99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ht="14.25" customHeight="1">
      <c r="A604" s="97"/>
      <c r="B604" s="99"/>
      <c r="C604" s="99"/>
      <c r="D604" s="99"/>
      <c r="E604" s="99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ht="14.25" customHeight="1">
      <c r="A605" s="97"/>
      <c r="B605" s="99"/>
      <c r="C605" s="99"/>
      <c r="D605" s="99"/>
      <c r="E605" s="99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ht="14.25" customHeight="1">
      <c r="A606" s="97"/>
      <c r="B606" s="99"/>
      <c r="C606" s="99"/>
      <c r="D606" s="99"/>
      <c r="E606" s="99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ht="14.25" customHeight="1">
      <c r="A607" s="97"/>
      <c r="B607" s="99"/>
      <c r="C607" s="99"/>
      <c r="D607" s="99"/>
      <c r="E607" s="99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ht="14.25" customHeight="1">
      <c r="A608" s="97"/>
      <c r="B608" s="99"/>
      <c r="C608" s="99"/>
      <c r="D608" s="99"/>
      <c r="E608" s="99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ht="14.25" customHeight="1">
      <c r="A609" s="97"/>
      <c r="B609" s="99"/>
      <c r="C609" s="99"/>
      <c r="D609" s="99"/>
      <c r="E609" s="99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ht="14.25" customHeight="1">
      <c r="A610" s="97"/>
      <c r="B610" s="99"/>
      <c r="C610" s="99"/>
      <c r="D610" s="99"/>
      <c r="E610" s="99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ht="14.25" customHeight="1">
      <c r="A611" s="97"/>
      <c r="B611" s="99"/>
      <c r="C611" s="99"/>
      <c r="D611" s="99"/>
      <c r="E611" s="99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ht="14.25" customHeight="1">
      <c r="A612" s="97"/>
      <c r="B612" s="99"/>
      <c r="C612" s="99"/>
      <c r="D612" s="99"/>
      <c r="E612" s="99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ht="14.25" customHeight="1">
      <c r="A613" s="97"/>
      <c r="B613" s="99"/>
      <c r="C613" s="99"/>
      <c r="D613" s="99"/>
      <c r="E613" s="99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ht="14.25" customHeight="1">
      <c r="A614" s="97"/>
      <c r="B614" s="99"/>
      <c r="C614" s="99"/>
      <c r="D614" s="99"/>
      <c r="E614" s="99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ht="14.25" customHeight="1">
      <c r="A615" s="97"/>
      <c r="B615" s="99"/>
      <c r="C615" s="99"/>
      <c r="D615" s="99"/>
      <c r="E615" s="99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ht="14.25" customHeight="1">
      <c r="A616" s="97"/>
      <c r="B616" s="99"/>
      <c r="C616" s="99"/>
      <c r="D616" s="99"/>
      <c r="E616" s="99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ht="14.25" customHeight="1">
      <c r="A617" s="97"/>
      <c r="B617" s="99"/>
      <c r="C617" s="99"/>
      <c r="D617" s="99"/>
      <c r="E617" s="99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ht="14.25" customHeight="1">
      <c r="A618" s="97"/>
      <c r="B618" s="99"/>
      <c r="C618" s="99"/>
      <c r="D618" s="99"/>
      <c r="E618" s="99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ht="14.25" customHeight="1">
      <c r="A619" s="97"/>
      <c r="B619" s="99"/>
      <c r="C619" s="99"/>
      <c r="D619" s="99"/>
      <c r="E619" s="99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ht="14.25" customHeight="1">
      <c r="A620" s="97"/>
      <c r="B620" s="99"/>
      <c r="C620" s="99"/>
      <c r="D620" s="99"/>
      <c r="E620" s="99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ht="14.25" customHeight="1">
      <c r="A621" s="97"/>
      <c r="B621" s="99"/>
      <c r="C621" s="99"/>
      <c r="D621" s="99"/>
      <c r="E621" s="99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ht="14.25" customHeight="1">
      <c r="A622" s="97"/>
      <c r="B622" s="99"/>
      <c r="C622" s="99"/>
      <c r="D622" s="99"/>
      <c r="E622" s="99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ht="14.25" customHeight="1">
      <c r="A623" s="97"/>
      <c r="B623" s="99"/>
      <c r="C623" s="99"/>
      <c r="D623" s="99"/>
      <c r="E623" s="99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ht="14.25" customHeight="1">
      <c r="A624" s="97"/>
      <c r="B624" s="99"/>
      <c r="C624" s="99"/>
      <c r="D624" s="99"/>
      <c r="E624" s="99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ht="14.25" customHeight="1">
      <c r="A625" s="97"/>
      <c r="B625" s="99"/>
      <c r="C625" s="99"/>
      <c r="D625" s="99"/>
      <c r="E625" s="99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ht="14.25" customHeight="1">
      <c r="A626" s="97"/>
      <c r="B626" s="99"/>
      <c r="C626" s="99"/>
      <c r="D626" s="99"/>
      <c r="E626" s="99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ht="14.25" customHeight="1">
      <c r="A627" s="97"/>
      <c r="B627" s="99"/>
      <c r="C627" s="99"/>
      <c r="D627" s="99"/>
      <c r="E627" s="99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ht="14.25" customHeight="1">
      <c r="A628" s="97"/>
      <c r="B628" s="99"/>
      <c r="C628" s="99"/>
      <c r="D628" s="99"/>
      <c r="E628" s="99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ht="14.25" customHeight="1">
      <c r="A629" s="97"/>
      <c r="B629" s="99"/>
      <c r="C629" s="99"/>
      <c r="D629" s="99"/>
      <c r="E629" s="99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ht="14.25" customHeight="1">
      <c r="A630" s="97"/>
      <c r="B630" s="99"/>
      <c r="C630" s="99"/>
      <c r="D630" s="99"/>
      <c r="E630" s="99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ht="14.25" customHeight="1">
      <c r="A631" s="97"/>
      <c r="B631" s="99"/>
      <c r="C631" s="99"/>
      <c r="D631" s="99"/>
      <c r="E631" s="99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ht="14.25" customHeight="1">
      <c r="A632" s="97"/>
      <c r="B632" s="99"/>
      <c r="C632" s="99"/>
      <c r="D632" s="99"/>
      <c r="E632" s="99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ht="14.25" customHeight="1">
      <c r="A633" s="97"/>
      <c r="B633" s="99"/>
      <c r="C633" s="99"/>
      <c r="D633" s="99"/>
      <c r="E633" s="99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ht="14.25" customHeight="1">
      <c r="A634" s="97"/>
      <c r="B634" s="99"/>
      <c r="C634" s="99"/>
      <c r="D634" s="99"/>
      <c r="E634" s="99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ht="14.25" customHeight="1">
      <c r="A635" s="97"/>
      <c r="B635" s="99"/>
      <c r="C635" s="99"/>
      <c r="D635" s="99"/>
      <c r="E635" s="99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ht="14.25" customHeight="1">
      <c r="A636" s="97"/>
      <c r="B636" s="99"/>
      <c r="C636" s="99"/>
      <c r="D636" s="99"/>
      <c r="E636" s="99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ht="14.25" customHeight="1">
      <c r="A637" s="97"/>
      <c r="B637" s="99"/>
      <c r="C637" s="99"/>
      <c r="D637" s="99"/>
      <c r="E637" s="99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ht="14.25" customHeight="1">
      <c r="A638" s="97"/>
      <c r="B638" s="99"/>
      <c r="C638" s="99"/>
      <c r="D638" s="99"/>
      <c r="E638" s="99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ht="14.25" customHeight="1">
      <c r="A639" s="97"/>
      <c r="B639" s="99"/>
      <c r="C639" s="99"/>
      <c r="D639" s="99"/>
      <c r="E639" s="99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ht="14.25" customHeight="1">
      <c r="A640" s="97"/>
      <c r="B640" s="99"/>
      <c r="C640" s="99"/>
      <c r="D640" s="99"/>
      <c r="E640" s="99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ht="14.25" customHeight="1">
      <c r="A641" s="97"/>
      <c r="B641" s="99"/>
      <c r="C641" s="99"/>
      <c r="D641" s="99"/>
      <c r="E641" s="99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ht="14.25" customHeight="1">
      <c r="A642" s="97"/>
      <c r="B642" s="99"/>
      <c r="C642" s="99"/>
      <c r="D642" s="99"/>
      <c r="E642" s="99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ht="14.25" customHeight="1">
      <c r="A643" s="97"/>
      <c r="B643" s="99"/>
      <c r="C643" s="99"/>
      <c r="D643" s="99"/>
      <c r="E643" s="99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ht="14.25" customHeight="1">
      <c r="A644" s="97"/>
      <c r="B644" s="99"/>
      <c r="C644" s="99"/>
      <c r="D644" s="99"/>
      <c r="E644" s="99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ht="14.25" customHeight="1">
      <c r="A645" s="97"/>
      <c r="B645" s="99"/>
      <c r="C645" s="99"/>
      <c r="D645" s="99"/>
      <c r="E645" s="99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ht="14.25" customHeight="1">
      <c r="A646" s="97"/>
      <c r="B646" s="99"/>
      <c r="C646" s="99"/>
      <c r="D646" s="99"/>
      <c r="E646" s="99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ht="14.25" customHeight="1">
      <c r="A647" s="97"/>
      <c r="B647" s="99"/>
      <c r="C647" s="99"/>
      <c r="D647" s="99"/>
      <c r="E647" s="99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ht="14.25" customHeight="1">
      <c r="A648" s="97"/>
      <c r="B648" s="99"/>
      <c r="C648" s="99"/>
      <c r="D648" s="99"/>
      <c r="E648" s="99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ht="14.25" customHeight="1">
      <c r="A649" s="97"/>
      <c r="B649" s="99"/>
      <c r="C649" s="99"/>
      <c r="D649" s="99"/>
      <c r="E649" s="99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ht="14.25" customHeight="1">
      <c r="A650" s="97"/>
      <c r="B650" s="99"/>
      <c r="C650" s="99"/>
      <c r="D650" s="99"/>
      <c r="E650" s="99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ht="14.25" customHeight="1">
      <c r="A651" s="97"/>
      <c r="B651" s="99"/>
      <c r="C651" s="99"/>
      <c r="D651" s="99"/>
      <c r="E651" s="99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ht="14.25" customHeight="1">
      <c r="A652" s="97"/>
      <c r="B652" s="99"/>
      <c r="C652" s="99"/>
      <c r="D652" s="99"/>
      <c r="E652" s="99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ht="14.25" customHeight="1">
      <c r="A653" s="97"/>
      <c r="B653" s="99"/>
      <c r="C653" s="99"/>
      <c r="D653" s="99"/>
      <c r="E653" s="99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ht="14.25" customHeight="1">
      <c r="A654" s="97"/>
      <c r="B654" s="99"/>
      <c r="C654" s="99"/>
      <c r="D654" s="99"/>
      <c r="E654" s="99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ht="14.25" customHeight="1">
      <c r="A655" s="97"/>
      <c r="B655" s="99"/>
      <c r="C655" s="99"/>
      <c r="D655" s="99"/>
      <c r="E655" s="99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ht="14.25" customHeight="1">
      <c r="A656" s="97"/>
      <c r="B656" s="99"/>
      <c r="C656" s="99"/>
      <c r="D656" s="99"/>
      <c r="E656" s="99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ht="14.25" customHeight="1">
      <c r="A657" s="97"/>
      <c r="B657" s="99"/>
      <c r="C657" s="99"/>
      <c r="D657" s="99"/>
      <c r="E657" s="99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ht="14.25" customHeight="1">
      <c r="A658" s="97"/>
      <c r="B658" s="99"/>
      <c r="C658" s="99"/>
      <c r="D658" s="99"/>
      <c r="E658" s="99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ht="14.25" customHeight="1">
      <c r="A659" s="97"/>
      <c r="B659" s="99"/>
      <c r="C659" s="99"/>
      <c r="D659" s="99"/>
      <c r="E659" s="99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ht="14.25" customHeight="1">
      <c r="A660" s="97"/>
      <c r="B660" s="99"/>
      <c r="C660" s="99"/>
      <c r="D660" s="99"/>
      <c r="E660" s="99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ht="14.25" customHeight="1">
      <c r="A661" s="97"/>
      <c r="B661" s="99"/>
      <c r="C661" s="99"/>
      <c r="D661" s="99"/>
      <c r="E661" s="99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ht="14.25" customHeight="1">
      <c r="A662" s="97"/>
      <c r="B662" s="99"/>
      <c r="C662" s="99"/>
      <c r="D662" s="99"/>
      <c r="E662" s="99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ht="14.25" customHeight="1">
      <c r="A663" s="97"/>
      <c r="B663" s="99"/>
      <c r="C663" s="99"/>
      <c r="D663" s="99"/>
      <c r="E663" s="99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ht="14.25" customHeight="1">
      <c r="A664" s="97"/>
      <c r="B664" s="99"/>
      <c r="C664" s="99"/>
      <c r="D664" s="99"/>
      <c r="E664" s="99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ht="14.25" customHeight="1">
      <c r="A665" s="97"/>
      <c r="B665" s="99"/>
      <c r="C665" s="99"/>
      <c r="D665" s="99"/>
      <c r="E665" s="99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ht="14.25" customHeight="1">
      <c r="A666" s="97"/>
      <c r="B666" s="99"/>
      <c r="C666" s="99"/>
      <c r="D666" s="99"/>
      <c r="E666" s="99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ht="14.25" customHeight="1">
      <c r="A667" s="97"/>
      <c r="B667" s="99"/>
      <c r="C667" s="99"/>
      <c r="D667" s="99"/>
      <c r="E667" s="99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ht="14.25" customHeight="1">
      <c r="A668" s="97"/>
      <c r="B668" s="99"/>
      <c r="C668" s="99"/>
      <c r="D668" s="99"/>
      <c r="E668" s="99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ht="14.25" customHeight="1">
      <c r="A669" s="97"/>
      <c r="B669" s="99"/>
      <c r="C669" s="99"/>
      <c r="D669" s="99"/>
      <c r="E669" s="99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ht="14.25" customHeight="1">
      <c r="A670" s="97"/>
      <c r="B670" s="99"/>
      <c r="C670" s="99"/>
      <c r="D670" s="99"/>
      <c r="E670" s="99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ht="14.25" customHeight="1">
      <c r="A671" s="97"/>
      <c r="B671" s="99"/>
      <c r="C671" s="99"/>
      <c r="D671" s="99"/>
      <c r="E671" s="99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ht="14.25" customHeight="1">
      <c r="A672" s="97"/>
      <c r="B672" s="99"/>
      <c r="C672" s="99"/>
      <c r="D672" s="99"/>
      <c r="E672" s="99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ht="14.25" customHeight="1">
      <c r="A673" s="97"/>
      <c r="B673" s="99"/>
      <c r="C673" s="99"/>
      <c r="D673" s="99"/>
      <c r="E673" s="99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ht="14.25" customHeight="1">
      <c r="A674" s="97"/>
      <c r="B674" s="99"/>
      <c r="C674" s="99"/>
      <c r="D674" s="99"/>
      <c r="E674" s="99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ht="14.25" customHeight="1">
      <c r="A675" s="97"/>
      <c r="B675" s="99"/>
      <c r="C675" s="99"/>
      <c r="D675" s="99"/>
      <c r="E675" s="99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ht="14.25" customHeight="1">
      <c r="A676" s="97"/>
      <c r="B676" s="99"/>
      <c r="C676" s="99"/>
      <c r="D676" s="99"/>
      <c r="E676" s="99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ht="14.25" customHeight="1">
      <c r="A677" s="97"/>
      <c r="B677" s="99"/>
      <c r="C677" s="99"/>
      <c r="D677" s="99"/>
      <c r="E677" s="99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ht="14.25" customHeight="1">
      <c r="A678" s="97"/>
      <c r="B678" s="99"/>
      <c r="C678" s="99"/>
      <c r="D678" s="99"/>
      <c r="E678" s="99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ht="14.25" customHeight="1">
      <c r="A679" s="97"/>
      <c r="B679" s="99"/>
      <c r="C679" s="99"/>
      <c r="D679" s="99"/>
      <c r="E679" s="99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ht="14.25" customHeight="1">
      <c r="A680" s="97"/>
      <c r="B680" s="99"/>
      <c r="C680" s="99"/>
      <c r="D680" s="99"/>
      <c r="E680" s="99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ht="14.25" customHeight="1">
      <c r="A681" s="97"/>
      <c r="B681" s="99"/>
      <c r="C681" s="99"/>
      <c r="D681" s="99"/>
      <c r="E681" s="99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ht="14.25" customHeight="1">
      <c r="A682" s="97"/>
      <c r="B682" s="99"/>
      <c r="C682" s="99"/>
      <c r="D682" s="99"/>
      <c r="E682" s="99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ht="14.25" customHeight="1">
      <c r="A683" s="97"/>
      <c r="B683" s="99"/>
      <c r="C683" s="99"/>
      <c r="D683" s="99"/>
      <c r="E683" s="99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ht="14.25" customHeight="1">
      <c r="A684" s="97"/>
      <c r="B684" s="99"/>
      <c r="C684" s="99"/>
      <c r="D684" s="99"/>
      <c r="E684" s="99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ht="14.25" customHeight="1">
      <c r="A685" s="97"/>
      <c r="B685" s="99"/>
      <c r="C685" s="99"/>
      <c r="D685" s="99"/>
      <c r="E685" s="99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ht="14.25" customHeight="1">
      <c r="A686" s="97"/>
      <c r="B686" s="99"/>
      <c r="C686" s="99"/>
      <c r="D686" s="99"/>
      <c r="E686" s="99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ht="14.25" customHeight="1">
      <c r="A687" s="97"/>
      <c r="B687" s="99"/>
      <c r="C687" s="99"/>
      <c r="D687" s="99"/>
      <c r="E687" s="99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ht="14.25" customHeight="1">
      <c r="A688" s="97"/>
      <c r="B688" s="99"/>
      <c r="C688" s="99"/>
      <c r="D688" s="99"/>
      <c r="E688" s="99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ht="14.25" customHeight="1">
      <c r="A689" s="97"/>
      <c r="B689" s="99"/>
      <c r="C689" s="99"/>
      <c r="D689" s="99"/>
      <c r="E689" s="99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ht="14.25" customHeight="1">
      <c r="A690" s="97"/>
      <c r="B690" s="99"/>
      <c r="C690" s="99"/>
      <c r="D690" s="99"/>
      <c r="E690" s="99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ht="14.25" customHeight="1">
      <c r="A691" s="97"/>
      <c r="B691" s="99"/>
      <c r="C691" s="99"/>
      <c r="D691" s="99"/>
      <c r="E691" s="99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ht="14.25" customHeight="1">
      <c r="A692" s="97"/>
      <c r="B692" s="99"/>
      <c r="C692" s="99"/>
      <c r="D692" s="99"/>
      <c r="E692" s="99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ht="14.25" customHeight="1">
      <c r="A693" s="97"/>
      <c r="B693" s="99"/>
      <c r="C693" s="99"/>
      <c r="D693" s="99"/>
      <c r="E693" s="99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ht="14.25" customHeight="1">
      <c r="A694" s="97"/>
      <c r="B694" s="99"/>
      <c r="C694" s="99"/>
      <c r="D694" s="99"/>
      <c r="E694" s="99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ht="14.25" customHeight="1">
      <c r="A695" s="97"/>
      <c r="B695" s="99"/>
      <c r="C695" s="99"/>
      <c r="D695" s="99"/>
      <c r="E695" s="99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ht="14.25" customHeight="1">
      <c r="A696" s="97"/>
      <c r="B696" s="99"/>
      <c r="C696" s="99"/>
      <c r="D696" s="99"/>
      <c r="E696" s="99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ht="14.25" customHeight="1">
      <c r="A697" s="97"/>
      <c r="B697" s="99"/>
      <c r="C697" s="99"/>
      <c r="D697" s="99"/>
      <c r="E697" s="99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ht="14.25" customHeight="1">
      <c r="A698" s="97"/>
      <c r="B698" s="99"/>
      <c r="C698" s="99"/>
      <c r="D698" s="99"/>
      <c r="E698" s="99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ht="14.25" customHeight="1">
      <c r="A699" s="97"/>
      <c r="B699" s="99"/>
      <c r="C699" s="99"/>
      <c r="D699" s="99"/>
      <c r="E699" s="99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ht="14.25" customHeight="1">
      <c r="A700" s="97"/>
      <c r="B700" s="99"/>
      <c r="C700" s="99"/>
      <c r="D700" s="99"/>
      <c r="E700" s="99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ht="14.25" customHeight="1">
      <c r="A701" s="97"/>
      <c r="B701" s="99"/>
      <c r="C701" s="99"/>
      <c r="D701" s="99"/>
      <c r="E701" s="99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ht="14.25" customHeight="1">
      <c r="A702" s="97"/>
      <c r="B702" s="99"/>
      <c r="C702" s="99"/>
      <c r="D702" s="99"/>
      <c r="E702" s="99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ht="14.25" customHeight="1">
      <c r="A703" s="97"/>
      <c r="B703" s="99"/>
      <c r="C703" s="99"/>
      <c r="D703" s="99"/>
      <c r="E703" s="99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ht="14.25" customHeight="1">
      <c r="A704" s="97"/>
      <c r="B704" s="99"/>
      <c r="C704" s="99"/>
      <c r="D704" s="99"/>
      <c r="E704" s="99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ht="14.25" customHeight="1">
      <c r="A705" s="97"/>
      <c r="B705" s="99"/>
      <c r="C705" s="99"/>
      <c r="D705" s="99"/>
      <c r="E705" s="99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ht="14.25" customHeight="1">
      <c r="A706" s="97"/>
      <c r="B706" s="99"/>
      <c r="C706" s="99"/>
      <c r="D706" s="99"/>
      <c r="E706" s="99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ht="14.25" customHeight="1">
      <c r="A707" s="97"/>
      <c r="B707" s="99"/>
      <c r="C707" s="99"/>
      <c r="D707" s="99"/>
      <c r="E707" s="99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ht="14.25" customHeight="1">
      <c r="A708" s="97"/>
      <c r="B708" s="99"/>
      <c r="C708" s="99"/>
      <c r="D708" s="99"/>
      <c r="E708" s="99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ht="14.25" customHeight="1">
      <c r="A709" s="97"/>
      <c r="B709" s="99"/>
      <c r="C709" s="99"/>
      <c r="D709" s="99"/>
      <c r="E709" s="99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ht="14.25" customHeight="1">
      <c r="A710" s="97"/>
      <c r="B710" s="99"/>
      <c r="C710" s="99"/>
      <c r="D710" s="99"/>
      <c r="E710" s="99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ht="14.25" customHeight="1">
      <c r="A711" s="97"/>
      <c r="B711" s="99"/>
      <c r="C711" s="99"/>
      <c r="D711" s="99"/>
      <c r="E711" s="99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ht="14.25" customHeight="1">
      <c r="A712" s="97"/>
      <c r="B712" s="99"/>
      <c r="C712" s="99"/>
      <c r="D712" s="99"/>
      <c r="E712" s="99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ht="14.25" customHeight="1">
      <c r="A713" s="97"/>
      <c r="B713" s="99"/>
      <c r="C713" s="99"/>
      <c r="D713" s="99"/>
      <c r="E713" s="99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ht="14.25" customHeight="1">
      <c r="A714" s="97"/>
      <c r="B714" s="99"/>
      <c r="C714" s="99"/>
      <c r="D714" s="99"/>
      <c r="E714" s="99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ht="14.25" customHeight="1">
      <c r="A715" s="97"/>
      <c r="B715" s="99"/>
      <c r="C715" s="99"/>
      <c r="D715" s="99"/>
      <c r="E715" s="99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ht="14.25" customHeight="1">
      <c r="A716" s="97"/>
      <c r="B716" s="99"/>
      <c r="C716" s="99"/>
      <c r="D716" s="99"/>
      <c r="E716" s="99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ht="14.25" customHeight="1">
      <c r="A717" s="97"/>
      <c r="B717" s="99"/>
      <c r="C717" s="99"/>
      <c r="D717" s="99"/>
      <c r="E717" s="99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ht="14.25" customHeight="1">
      <c r="A718" s="97"/>
      <c r="B718" s="99"/>
      <c r="C718" s="99"/>
      <c r="D718" s="99"/>
      <c r="E718" s="99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ht="14.25" customHeight="1">
      <c r="A719" s="97"/>
      <c r="B719" s="99"/>
      <c r="C719" s="99"/>
      <c r="D719" s="99"/>
      <c r="E719" s="99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ht="14.25" customHeight="1">
      <c r="A720" s="97"/>
      <c r="B720" s="99"/>
      <c r="C720" s="99"/>
      <c r="D720" s="99"/>
      <c r="E720" s="99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ht="14.25" customHeight="1">
      <c r="A721" s="97"/>
      <c r="B721" s="99"/>
      <c r="C721" s="99"/>
      <c r="D721" s="99"/>
      <c r="E721" s="99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ht="14.25" customHeight="1">
      <c r="A722" s="97"/>
      <c r="B722" s="99"/>
      <c r="C722" s="99"/>
      <c r="D722" s="99"/>
      <c r="E722" s="99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ht="14.25" customHeight="1">
      <c r="A723" s="97"/>
      <c r="B723" s="99"/>
      <c r="C723" s="99"/>
      <c r="D723" s="99"/>
      <c r="E723" s="99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ht="14.25" customHeight="1">
      <c r="A724" s="97"/>
      <c r="B724" s="99"/>
      <c r="C724" s="99"/>
      <c r="D724" s="99"/>
      <c r="E724" s="99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ht="14.25" customHeight="1">
      <c r="A725" s="97"/>
      <c r="B725" s="99"/>
      <c r="C725" s="99"/>
      <c r="D725" s="99"/>
      <c r="E725" s="99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ht="14.25" customHeight="1">
      <c r="A726" s="97"/>
      <c r="B726" s="99"/>
      <c r="C726" s="99"/>
      <c r="D726" s="99"/>
      <c r="E726" s="99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ht="14.25" customHeight="1">
      <c r="A727" s="97"/>
      <c r="B727" s="99"/>
      <c r="C727" s="99"/>
      <c r="D727" s="99"/>
      <c r="E727" s="99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ht="14.25" customHeight="1">
      <c r="A728" s="97"/>
      <c r="B728" s="99"/>
      <c r="C728" s="99"/>
      <c r="D728" s="99"/>
      <c r="E728" s="99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ht="14.25" customHeight="1">
      <c r="A729" s="97"/>
      <c r="B729" s="99"/>
      <c r="C729" s="99"/>
      <c r="D729" s="99"/>
      <c r="E729" s="99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ht="14.25" customHeight="1">
      <c r="A730" s="97"/>
      <c r="B730" s="99"/>
      <c r="C730" s="99"/>
      <c r="D730" s="99"/>
      <c r="E730" s="99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ht="14.25" customHeight="1">
      <c r="A731" s="97"/>
      <c r="B731" s="99"/>
      <c r="C731" s="99"/>
      <c r="D731" s="99"/>
      <c r="E731" s="99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ht="14.25" customHeight="1">
      <c r="A732" s="97"/>
      <c r="B732" s="99"/>
      <c r="C732" s="99"/>
      <c r="D732" s="99"/>
      <c r="E732" s="99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ht="14.25" customHeight="1">
      <c r="A733" s="97"/>
      <c r="B733" s="99"/>
      <c r="C733" s="99"/>
      <c r="D733" s="99"/>
      <c r="E733" s="99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ht="14.25" customHeight="1">
      <c r="A734" s="97"/>
      <c r="B734" s="99"/>
      <c r="C734" s="99"/>
      <c r="D734" s="99"/>
      <c r="E734" s="99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ht="14.25" customHeight="1">
      <c r="A735" s="97"/>
      <c r="B735" s="99"/>
      <c r="C735" s="99"/>
      <c r="D735" s="99"/>
      <c r="E735" s="99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ht="14.25" customHeight="1">
      <c r="A736" s="97"/>
      <c r="B736" s="99"/>
      <c r="C736" s="99"/>
      <c r="D736" s="99"/>
      <c r="E736" s="99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ht="14.25" customHeight="1">
      <c r="A737" s="97"/>
      <c r="B737" s="99"/>
      <c r="C737" s="99"/>
      <c r="D737" s="99"/>
      <c r="E737" s="99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ht="14.25" customHeight="1">
      <c r="A738" s="97"/>
      <c r="B738" s="99"/>
      <c r="C738" s="99"/>
      <c r="D738" s="99"/>
      <c r="E738" s="99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ht="14.25" customHeight="1">
      <c r="A739" s="97"/>
      <c r="B739" s="99"/>
      <c r="C739" s="99"/>
      <c r="D739" s="99"/>
      <c r="E739" s="99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ht="14.25" customHeight="1">
      <c r="A740" s="97"/>
      <c r="B740" s="99"/>
      <c r="C740" s="99"/>
      <c r="D740" s="99"/>
      <c r="E740" s="99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ht="14.25" customHeight="1">
      <c r="A741" s="97"/>
      <c r="B741" s="99"/>
      <c r="C741" s="99"/>
      <c r="D741" s="99"/>
      <c r="E741" s="99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ht="14.25" customHeight="1">
      <c r="A742" s="97"/>
      <c r="B742" s="99"/>
      <c r="C742" s="99"/>
      <c r="D742" s="99"/>
      <c r="E742" s="99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ht="14.25" customHeight="1">
      <c r="A743" s="97"/>
      <c r="B743" s="99"/>
      <c r="C743" s="99"/>
      <c r="D743" s="99"/>
      <c r="E743" s="99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ht="14.25" customHeight="1">
      <c r="A744" s="97"/>
      <c r="B744" s="99"/>
      <c r="C744" s="99"/>
      <c r="D744" s="99"/>
      <c r="E744" s="99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ht="14.25" customHeight="1">
      <c r="A745" s="97"/>
      <c r="B745" s="99"/>
      <c r="C745" s="99"/>
      <c r="D745" s="99"/>
      <c r="E745" s="99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ht="14.25" customHeight="1">
      <c r="A746" s="97"/>
      <c r="B746" s="99"/>
      <c r="C746" s="99"/>
      <c r="D746" s="99"/>
      <c r="E746" s="99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ht="14.25" customHeight="1">
      <c r="A747" s="97"/>
      <c r="B747" s="99"/>
      <c r="C747" s="99"/>
      <c r="D747" s="99"/>
      <c r="E747" s="99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ht="14.25" customHeight="1">
      <c r="A748" s="97"/>
      <c r="B748" s="99"/>
      <c r="C748" s="99"/>
      <c r="D748" s="99"/>
      <c r="E748" s="99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ht="14.25" customHeight="1">
      <c r="A749" s="97"/>
      <c r="B749" s="99"/>
      <c r="C749" s="99"/>
      <c r="D749" s="99"/>
      <c r="E749" s="99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ht="14.25" customHeight="1">
      <c r="A750" s="97"/>
      <c r="B750" s="99"/>
      <c r="C750" s="99"/>
      <c r="D750" s="99"/>
      <c r="E750" s="99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ht="14.25" customHeight="1">
      <c r="A751" s="97"/>
      <c r="B751" s="99"/>
      <c r="C751" s="99"/>
      <c r="D751" s="99"/>
      <c r="E751" s="99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ht="14.25" customHeight="1">
      <c r="A752" s="97"/>
      <c r="B752" s="99"/>
      <c r="C752" s="99"/>
      <c r="D752" s="99"/>
      <c r="E752" s="99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ht="14.25" customHeight="1">
      <c r="A753" s="97"/>
      <c r="B753" s="99"/>
      <c r="C753" s="99"/>
      <c r="D753" s="99"/>
      <c r="E753" s="99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ht="14.25" customHeight="1">
      <c r="A754" s="97"/>
      <c r="B754" s="99"/>
      <c r="C754" s="99"/>
      <c r="D754" s="99"/>
      <c r="E754" s="99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ht="14.25" customHeight="1">
      <c r="A755" s="97"/>
      <c r="B755" s="99"/>
      <c r="C755" s="99"/>
      <c r="D755" s="99"/>
      <c r="E755" s="99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ht="14.25" customHeight="1">
      <c r="A756" s="97"/>
      <c r="B756" s="99"/>
      <c r="C756" s="99"/>
      <c r="D756" s="99"/>
      <c r="E756" s="99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ht="14.25" customHeight="1">
      <c r="A757" s="97"/>
      <c r="B757" s="99"/>
      <c r="C757" s="99"/>
      <c r="D757" s="99"/>
      <c r="E757" s="99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ht="14.25" customHeight="1">
      <c r="A758" s="97"/>
      <c r="B758" s="99"/>
      <c r="C758" s="99"/>
      <c r="D758" s="99"/>
      <c r="E758" s="99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ht="14.25" customHeight="1">
      <c r="A759" s="97"/>
      <c r="B759" s="99"/>
      <c r="C759" s="99"/>
      <c r="D759" s="99"/>
      <c r="E759" s="99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ht="14.25" customHeight="1">
      <c r="A760" s="97"/>
      <c r="B760" s="99"/>
      <c r="C760" s="99"/>
      <c r="D760" s="99"/>
      <c r="E760" s="99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ht="14.25" customHeight="1">
      <c r="A761" s="97"/>
      <c r="B761" s="99"/>
      <c r="C761" s="99"/>
      <c r="D761" s="99"/>
      <c r="E761" s="99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ht="14.25" customHeight="1">
      <c r="A762" s="97"/>
      <c r="B762" s="99"/>
      <c r="C762" s="99"/>
      <c r="D762" s="99"/>
      <c r="E762" s="99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ht="14.25" customHeight="1">
      <c r="A763" s="97"/>
      <c r="B763" s="99"/>
      <c r="C763" s="99"/>
      <c r="D763" s="99"/>
      <c r="E763" s="99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ht="14.25" customHeight="1">
      <c r="A764" s="97"/>
      <c r="B764" s="99"/>
      <c r="C764" s="99"/>
      <c r="D764" s="99"/>
      <c r="E764" s="99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ht="14.25" customHeight="1">
      <c r="A765" s="97"/>
      <c r="B765" s="99"/>
      <c r="C765" s="99"/>
      <c r="D765" s="99"/>
      <c r="E765" s="99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ht="14.25" customHeight="1">
      <c r="A766" s="97"/>
      <c r="B766" s="99"/>
      <c r="C766" s="99"/>
      <c r="D766" s="99"/>
      <c r="E766" s="99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ht="14.25" customHeight="1">
      <c r="A767" s="97"/>
      <c r="B767" s="99"/>
      <c r="C767" s="99"/>
      <c r="D767" s="99"/>
      <c r="E767" s="99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ht="14.25" customHeight="1">
      <c r="A768" s="97"/>
      <c r="B768" s="99"/>
      <c r="C768" s="99"/>
      <c r="D768" s="99"/>
      <c r="E768" s="99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ht="14.25" customHeight="1">
      <c r="A769" s="97"/>
      <c r="B769" s="99"/>
      <c r="C769" s="99"/>
      <c r="D769" s="99"/>
      <c r="E769" s="99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ht="14.25" customHeight="1">
      <c r="A770" s="97"/>
      <c r="B770" s="99"/>
      <c r="C770" s="99"/>
      <c r="D770" s="99"/>
      <c r="E770" s="99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ht="14.25" customHeight="1">
      <c r="A771" s="97"/>
      <c r="B771" s="99"/>
      <c r="C771" s="99"/>
      <c r="D771" s="99"/>
      <c r="E771" s="99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ht="14.25" customHeight="1">
      <c r="A772" s="97"/>
      <c r="B772" s="99"/>
      <c r="C772" s="99"/>
      <c r="D772" s="99"/>
      <c r="E772" s="99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ht="14.25" customHeight="1">
      <c r="A773" s="97"/>
      <c r="B773" s="99"/>
      <c r="C773" s="99"/>
      <c r="D773" s="99"/>
      <c r="E773" s="99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ht="14.25" customHeight="1">
      <c r="A774" s="97"/>
      <c r="B774" s="99"/>
      <c r="C774" s="99"/>
      <c r="D774" s="99"/>
      <c r="E774" s="99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ht="14.25" customHeight="1">
      <c r="A775" s="97"/>
      <c r="B775" s="99"/>
      <c r="C775" s="99"/>
      <c r="D775" s="99"/>
      <c r="E775" s="99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ht="14.25" customHeight="1">
      <c r="A776" s="97"/>
      <c r="B776" s="99"/>
      <c r="C776" s="99"/>
      <c r="D776" s="99"/>
      <c r="E776" s="99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ht="14.25" customHeight="1">
      <c r="A777" s="97"/>
      <c r="B777" s="99"/>
      <c r="C777" s="99"/>
      <c r="D777" s="99"/>
      <c r="E777" s="99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ht="14.25" customHeight="1">
      <c r="A778" s="97"/>
      <c r="B778" s="99"/>
      <c r="C778" s="99"/>
      <c r="D778" s="99"/>
      <c r="E778" s="99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ht="14.25" customHeight="1">
      <c r="A779" s="97"/>
      <c r="B779" s="99"/>
      <c r="C779" s="99"/>
      <c r="D779" s="99"/>
      <c r="E779" s="99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ht="14.25" customHeight="1">
      <c r="A780" s="97"/>
      <c r="B780" s="99"/>
      <c r="C780" s="99"/>
      <c r="D780" s="99"/>
      <c r="E780" s="99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ht="14.25" customHeight="1">
      <c r="A781" s="97"/>
      <c r="B781" s="99"/>
      <c r="C781" s="99"/>
      <c r="D781" s="99"/>
      <c r="E781" s="99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ht="14.25" customHeight="1">
      <c r="A782" s="97"/>
      <c r="B782" s="99"/>
      <c r="C782" s="99"/>
      <c r="D782" s="99"/>
      <c r="E782" s="99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ht="14.25" customHeight="1">
      <c r="A783" s="97"/>
      <c r="B783" s="99"/>
      <c r="C783" s="99"/>
      <c r="D783" s="99"/>
      <c r="E783" s="99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ht="14.25" customHeight="1">
      <c r="A784" s="97"/>
      <c r="B784" s="99"/>
      <c r="C784" s="99"/>
      <c r="D784" s="99"/>
      <c r="E784" s="99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ht="14.25" customHeight="1">
      <c r="A785" s="97"/>
      <c r="B785" s="99"/>
      <c r="C785" s="99"/>
      <c r="D785" s="99"/>
      <c r="E785" s="99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ht="14.25" customHeight="1">
      <c r="A786" s="97"/>
      <c r="B786" s="99"/>
      <c r="C786" s="99"/>
      <c r="D786" s="99"/>
      <c r="E786" s="99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ht="14.25" customHeight="1">
      <c r="A787" s="97"/>
      <c r="B787" s="99"/>
      <c r="C787" s="99"/>
      <c r="D787" s="99"/>
      <c r="E787" s="99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ht="14.25" customHeight="1">
      <c r="A788" s="97"/>
      <c r="B788" s="99"/>
      <c r="C788" s="99"/>
      <c r="D788" s="99"/>
      <c r="E788" s="99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ht="14.25" customHeight="1">
      <c r="A789" s="97"/>
      <c r="B789" s="99"/>
      <c r="C789" s="99"/>
      <c r="D789" s="99"/>
      <c r="E789" s="99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ht="14.25" customHeight="1">
      <c r="A790" s="97"/>
      <c r="B790" s="99"/>
      <c r="C790" s="99"/>
      <c r="D790" s="99"/>
      <c r="E790" s="99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ht="14.25" customHeight="1">
      <c r="A791" s="97"/>
      <c r="B791" s="99"/>
      <c r="C791" s="99"/>
      <c r="D791" s="99"/>
      <c r="E791" s="99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ht="14.25" customHeight="1">
      <c r="A792" s="97"/>
      <c r="B792" s="99"/>
      <c r="C792" s="99"/>
      <c r="D792" s="99"/>
      <c r="E792" s="99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ht="14.25" customHeight="1">
      <c r="A793" s="97"/>
      <c r="B793" s="99"/>
      <c r="C793" s="99"/>
      <c r="D793" s="99"/>
      <c r="E793" s="99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ht="14.25" customHeight="1">
      <c r="A794" s="97"/>
      <c r="B794" s="99"/>
      <c r="C794" s="99"/>
      <c r="D794" s="99"/>
      <c r="E794" s="99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ht="14.25" customHeight="1">
      <c r="A795" s="97"/>
      <c r="B795" s="99"/>
      <c r="C795" s="99"/>
      <c r="D795" s="99"/>
      <c r="E795" s="99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ht="14.25" customHeight="1">
      <c r="A796" s="97"/>
      <c r="B796" s="99"/>
      <c r="C796" s="99"/>
      <c r="D796" s="99"/>
      <c r="E796" s="99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ht="14.25" customHeight="1">
      <c r="A797" s="97"/>
      <c r="B797" s="99"/>
      <c r="C797" s="99"/>
      <c r="D797" s="99"/>
      <c r="E797" s="99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ht="14.25" customHeight="1">
      <c r="A798" s="97"/>
      <c r="B798" s="99"/>
      <c r="C798" s="99"/>
      <c r="D798" s="99"/>
      <c r="E798" s="99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ht="14.25" customHeight="1">
      <c r="A799" s="97"/>
      <c r="B799" s="99"/>
      <c r="C799" s="99"/>
      <c r="D799" s="99"/>
      <c r="E799" s="99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ht="14.25" customHeight="1">
      <c r="A800" s="97"/>
      <c r="B800" s="99"/>
      <c r="C800" s="99"/>
      <c r="D800" s="99"/>
      <c r="E800" s="99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ht="14.25" customHeight="1">
      <c r="A801" s="97"/>
      <c r="B801" s="99"/>
      <c r="C801" s="99"/>
      <c r="D801" s="99"/>
      <c r="E801" s="99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ht="14.25" customHeight="1">
      <c r="A802" s="97"/>
      <c r="B802" s="99"/>
      <c r="C802" s="99"/>
      <c r="D802" s="99"/>
      <c r="E802" s="99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ht="14.25" customHeight="1">
      <c r="A803" s="97"/>
      <c r="B803" s="99"/>
      <c r="C803" s="99"/>
      <c r="D803" s="99"/>
      <c r="E803" s="99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ht="14.25" customHeight="1">
      <c r="A804" s="97"/>
      <c r="B804" s="99"/>
      <c r="C804" s="99"/>
      <c r="D804" s="99"/>
      <c r="E804" s="99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ht="14.25" customHeight="1">
      <c r="A805" s="97"/>
      <c r="B805" s="99"/>
      <c r="C805" s="99"/>
      <c r="D805" s="99"/>
      <c r="E805" s="99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ht="14.25" customHeight="1">
      <c r="A806" s="97"/>
      <c r="B806" s="99"/>
      <c r="C806" s="99"/>
      <c r="D806" s="99"/>
      <c r="E806" s="99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ht="14.25" customHeight="1">
      <c r="A807" s="97"/>
      <c r="B807" s="99"/>
      <c r="C807" s="99"/>
      <c r="D807" s="99"/>
      <c r="E807" s="99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ht="14.25" customHeight="1">
      <c r="A808" s="97"/>
      <c r="B808" s="99"/>
      <c r="C808" s="99"/>
      <c r="D808" s="99"/>
      <c r="E808" s="99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ht="14.25" customHeight="1">
      <c r="A809" s="97"/>
      <c r="B809" s="99"/>
      <c r="C809" s="99"/>
      <c r="D809" s="99"/>
      <c r="E809" s="99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ht="14.25" customHeight="1">
      <c r="A810" s="97"/>
      <c r="B810" s="99"/>
      <c r="C810" s="99"/>
      <c r="D810" s="99"/>
      <c r="E810" s="99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ht="14.25" customHeight="1">
      <c r="A811" s="97"/>
      <c r="B811" s="99"/>
      <c r="C811" s="99"/>
      <c r="D811" s="99"/>
      <c r="E811" s="99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ht="14.25" customHeight="1">
      <c r="A812" s="97"/>
      <c r="B812" s="99"/>
      <c r="C812" s="99"/>
      <c r="D812" s="99"/>
      <c r="E812" s="99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ht="14.25" customHeight="1">
      <c r="A813" s="97"/>
      <c r="B813" s="99"/>
      <c r="C813" s="99"/>
      <c r="D813" s="99"/>
      <c r="E813" s="99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ht="14.25" customHeight="1">
      <c r="A814" s="97"/>
      <c r="B814" s="99"/>
      <c r="C814" s="99"/>
      <c r="D814" s="99"/>
      <c r="E814" s="99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ht="14.25" customHeight="1">
      <c r="A815" s="97"/>
      <c r="B815" s="99"/>
      <c r="C815" s="99"/>
      <c r="D815" s="99"/>
      <c r="E815" s="99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ht="14.25" customHeight="1">
      <c r="A816" s="97"/>
      <c r="B816" s="99"/>
      <c r="C816" s="99"/>
      <c r="D816" s="99"/>
      <c r="E816" s="99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ht="14.25" customHeight="1">
      <c r="A817" s="97"/>
      <c r="B817" s="99"/>
      <c r="C817" s="99"/>
      <c r="D817" s="99"/>
      <c r="E817" s="99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ht="14.25" customHeight="1">
      <c r="A818" s="97"/>
      <c r="B818" s="99"/>
      <c r="C818" s="99"/>
      <c r="D818" s="99"/>
      <c r="E818" s="99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ht="14.25" customHeight="1">
      <c r="A819" s="97"/>
      <c r="B819" s="99"/>
      <c r="C819" s="99"/>
      <c r="D819" s="99"/>
      <c r="E819" s="99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ht="14.25" customHeight="1">
      <c r="A820" s="97"/>
      <c r="B820" s="99"/>
      <c r="C820" s="99"/>
      <c r="D820" s="99"/>
      <c r="E820" s="99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ht="14.25" customHeight="1">
      <c r="A821" s="97"/>
      <c r="B821" s="99"/>
      <c r="C821" s="99"/>
      <c r="D821" s="99"/>
      <c r="E821" s="99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ht="14.25" customHeight="1">
      <c r="A822" s="97"/>
      <c r="B822" s="99"/>
      <c r="C822" s="99"/>
      <c r="D822" s="99"/>
      <c r="E822" s="99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ht="14.25" customHeight="1">
      <c r="A823" s="97"/>
      <c r="B823" s="99"/>
      <c r="C823" s="99"/>
      <c r="D823" s="99"/>
      <c r="E823" s="99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ht="14.25" customHeight="1">
      <c r="A824" s="97"/>
      <c r="B824" s="99"/>
      <c r="C824" s="99"/>
      <c r="D824" s="99"/>
      <c r="E824" s="99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ht="14.25" customHeight="1">
      <c r="A825" s="97"/>
      <c r="B825" s="99"/>
      <c r="C825" s="99"/>
      <c r="D825" s="99"/>
      <c r="E825" s="99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ht="14.25" customHeight="1">
      <c r="A826" s="97"/>
      <c r="B826" s="99"/>
      <c r="C826" s="99"/>
      <c r="D826" s="99"/>
      <c r="E826" s="99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ht="14.25" customHeight="1">
      <c r="A827" s="97"/>
      <c r="B827" s="99"/>
      <c r="C827" s="99"/>
      <c r="D827" s="99"/>
      <c r="E827" s="99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ht="14.25" customHeight="1">
      <c r="A828" s="97"/>
      <c r="B828" s="99"/>
      <c r="C828" s="99"/>
      <c r="D828" s="99"/>
      <c r="E828" s="99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ht="14.25" customHeight="1">
      <c r="A829" s="97"/>
      <c r="B829" s="99"/>
      <c r="C829" s="99"/>
      <c r="D829" s="99"/>
      <c r="E829" s="99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ht="14.25" customHeight="1">
      <c r="A830" s="97"/>
      <c r="B830" s="99"/>
      <c r="C830" s="99"/>
      <c r="D830" s="99"/>
      <c r="E830" s="99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ht="14.25" customHeight="1">
      <c r="A831" s="97"/>
      <c r="B831" s="99"/>
      <c r="C831" s="99"/>
      <c r="D831" s="99"/>
      <c r="E831" s="99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ht="14.25" customHeight="1">
      <c r="A832" s="97"/>
      <c r="B832" s="99"/>
      <c r="C832" s="99"/>
      <c r="D832" s="99"/>
      <c r="E832" s="99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ht="14.25" customHeight="1">
      <c r="A833" s="97"/>
      <c r="B833" s="99"/>
      <c r="C833" s="99"/>
      <c r="D833" s="99"/>
      <c r="E833" s="99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ht="14.25" customHeight="1">
      <c r="A834" s="97"/>
      <c r="B834" s="99"/>
      <c r="C834" s="99"/>
      <c r="D834" s="99"/>
      <c r="E834" s="99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ht="14.25" customHeight="1">
      <c r="A835" s="97"/>
      <c r="B835" s="99"/>
      <c r="C835" s="99"/>
      <c r="D835" s="99"/>
      <c r="E835" s="99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ht="14.25" customHeight="1">
      <c r="A836" s="97"/>
      <c r="B836" s="99"/>
      <c r="C836" s="99"/>
      <c r="D836" s="99"/>
      <c r="E836" s="99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ht="14.25" customHeight="1">
      <c r="A837" s="97"/>
      <c r="B837" s="99"/>
      <c r="C837" s="99"/>
      <c r="D837" s="99"/>
      <c r="E837" s="99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ht="14.25" customHeight="1">
      <c r="A838" s="97"/>
      <c r="B838" s="99"/>
      <c r="C838" s="99"/>
      <c r="D838" s="99"/>
      <c r="E838" s="99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ht="14.25" customHeight="1">
      <c r="A839" s="97"/>
      <c r="B839" s="99"/>
      <c r="C839" s="99"/>
      <c r="D839" s="99"/>
      <c r="E839" s="99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ht="14.25" customHeight="1">
      <c r="A840" s="97"/>
      <c r="B840" s="99"/>
      <c r="C840" s="99"/>
      <c r="D840" s="99"/>
      <c r="E840" s="99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ht="14.25" customHeight="1">
      <c r="A841" s="97"/>
      <c r="B841" s="99"/>
      <c r="C841" s="99"/>
      <c r="D841" s="99"/>
      <c r="E841" s="99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ht="14.25" customHeight="1">
      <c r="A842" s="97"/>
      <c r="B842" s="99"/>
      <c r="C842" s="99"/>
      <c r="D842" s="99"/>
      <c r="E842" s="99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ht="14.25" customHeight="1">
      <c r="A843" s="97"/>
      <c r="B843" s="99"/>
      <c r="C843" s="99"/>
      <c r="D843" s="99"/>
      <c r="E843" s="99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ht="14.25" customHeight="1">
      <c r="A844" s="97"/>
      <c r="B844" s="99"/>
      <c r="C844" s="99"/>
      <c r="D844" s="99"/>
      <c r="E844" s="99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ht="14.25" customHeight="1">
      <c r="A845" s="97"/>
      <c r="B845" s="99"/>
      <c r="C845" s="99"/>
      <c r="D845" s="99"/>
      <c r="E845" s="99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ht="14.25" customHeight="1">
      <c r="A846" s="97"/>
      <c r="B846" s="99"/>
      <c r="C846" s="99"/>
      <c r="D846" s="99"/>
      <c r="E846" s="99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ht="14.25" customHeight="1">
      <c r="A847" s="97"/>
      <c r="B847" s="99"/>
      <c r="C847" s="99"/>
      <c r="D847" s="99"/>
      <c r="E847" s="99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ht="14.25" customHeight="1">
      <c r="A848" s="97"/>
      <c r="B848" s="99"/>
      <c r="C848" s="99"/>
      <c r="D848" s="99"/>
      <c r="E848" s="99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ht="14.25" customHeight="1">
      <c r="A849" s="97"/>
      <c r="B849" s="99"/>
      <c r="C849" s="99"/>
      <c r="D849" s="99"/>
      <c r="E849" s="99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ht="14.25" customHeight="1">
      <c r="A850" s="97"/>
      <c r="B850" s="99"/>
      <c r="C850" s="99"/>
      <c r="D850" s="99"/>
      <c r="E850" s="99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ht="14.25" customHeight="1">
      <c r="A851" s="97"/>
      <c r="B851" s="99"/>
      <c r="C851" s="99"/>
      <c r="D851" s="99"/>
      <c r="E851" s="99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ht="14.25" customHeight="1">
      <c r="A852" s="97"/>
      <c r="B852" s="99"/>
      <c r="C852" s="99"/>
      <c r="D852" s="99"/>
      <c r="E852" s="99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ht="14.25" customHeight="1">
      <c r="A853" s="97"/>
      <c r="B853" s="99"/>
      <c r="C853" s="99"/>
      <c r="D853" s="99"/>
      <c r="E853" s="99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ht="14.25" customHeight="1">
      <c r="A854" s="97"/>
      <c r="B854" s="99"/>
      <c r="C854" s="99"/>
      <c r="D854" s="99"/>
      <c r="E854" s="99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ht="14.25" customHeight="1">
      <c r="A855" s="97"/>
      <c r="B855" s="99"/>
      <c r="C855" s="99"/>
      <c r="D855" s="99"/>
      <c r="E855" s="99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ht="14.25" customHeight="1">
      <c r="A856" s="97"/>
      <c r="B856" s="99"/>
      <c r="C856" s="99"/>
      <c r="D856" s="99"/>
      <c r="E856" s="99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ht="14.25" customHeight="1">
      <c r="A857" s="97"/>
      <c r="B857" s="99"/>
      <c r="C857" s="99"/>
      <c r="D857" s="99"/>
      <c r="E857" s="99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ht="14.25" customHeight="1">
      <c r="A858" s="97"/>
      <c r="B858" s="99"/>
      <c r="C858" s="99"/>
      <c r="D858" s="99"/>
      <c r="E858" s="99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ht="14.25" customHeight="1">
      <c r="A859" s="97"/>
      <c r="B859" s="99"/>
      <c r="C859" s="99"/>
      <c r="D859" s="99"/>
      <c r="E859" s="99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ht="14.25" customHeight="1">
      <c r="A860" s="97"/>
      <c r="B860" s="99"/>
      <c r="C860" s="99"/>
      <c r="D860" s="99"/>
      <c r="E860" s="99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ht="14.25" customHeight="1">
      <c r="A861" s="97"/>
      <c r="B861" s="99"/>
      <c r="C861" s="99"/>
      <c r="D861" s="99"/>
      <c r="E861" s="99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ht="14.25" customHeight="1">
      <c r="A862" s="97"/>
      <c r="B862" s="99"/>
      <c r="C862" s="99"/>
      <c r="D862" s="99"/>
      <c r="E862" s="99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ht="14.25" customHeight="1">
      <c r="A863" s="97"/>
      <c r="B863" s="99"/>
      <c r="C863" s="99"/>
      <c r="D863" s="99"/>
      <c r="E863" s="99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ht="14.25" customHeight="1">
      <c r="A864" s="97"/>
      <c r="B864" s="99"/>
      <c r="C864" s="99"/>
      <c r="D864" s="99"/>
      <c r="E864" s="99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ht="14.25" customHeight="1">
      <c r="A865" s="97"/>
      <c r="B865" s="99"/>
      <c r="C865" s="99"/>
      <c r="D865" s="99"/>
      <c r="E865" s="99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ht="14.25" customHeight="1">
      <c r="A866" s="97"/>
      <c r="B866" s="99"/>
      <c r="C866" s="99"/>
      <c r="D866" s="99"/>
      <c r="E866" s="99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ht="14.25" customHeight="1">
      <c r="A867" s="97"/>
      <c r="B867" s="99"/>
      <c r="C867" s="99"/>
      <c r="D867" s="99"/>
      <c r="E867" s="99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ht="14.25" customHeight="1">
      <c r="A868" s="97"/>
      <c r="B868" s="99"/>
      <c r="C868" s="99"/>
      <c r="D868" s="99"/>
      <c r="E868" s="99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ht="14.25" customHeight="1">
      <c r="A869" s="97"/>
      <c r="B869" s="99"/>
      <c r="C869" s="99"/>
      <c r="D869" s="99"/>
      <c r="E869" s="99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ht="14.25" customHeight="1">
      <c r="A870" s="97"/>
      <c r="B870" s="99"/>
      <c r="C870" s="99"/>
      <c r="D870" s="99"/>
      <c r="E870" s="99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ht="14.25" customHeight="1">
      <c r="A871" s="97"/>
      <c r="B871" s="99"/>
      <c r="C871" s="99"/>
      <c r="D871" s="99"/>
      <c r="E871" s="99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ht="14.25" customHeight="1">
      <c r="A872" s="97"/>
      <c r="B872" s="99"/>
      <c r="C872" s="99"/>
      <c r="D872" s="99"/>
      <c r="E872" s="99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ht="14.25" customHeight="1">
      <c r="A873" s="97"/>
      <c r="B873" s="99"/>
      <c r="C873" s="99"/>
      <c r="D873" s="99"/>
      <c r="E873" s="99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ht="14.25" customHeight="1">
      <c r="A874" s="97"/>
      <c r="B874" s="99"/>
      <c r="C874" s="99"/>
      <c r="D874" s="99"/>
      <c r="E874" s="99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ht="14.25" customHeight="1">
      <c r="A875" s="97"/>
      <c r="B875" s="99"/>
      <c r="C875" s="99"/>
      <c r="D875" s="99"/>
      <c r="E875" s="99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ht="14.25" customHeight="1">
      <c r="A876" s="97"/>
      <c r="B876" s="99"/>
      <c r="C876" s="99"/>
      <c r="D876" s="99"/>
      <c r="E876" s="99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ht="14.25" customHeight="1">
      <c r="A877" s="97"/>
      <c r="B877" s="99"/>
      <c r="C877" s="99"/>
      <c r="D877" s="99"/>
      <c r="E877" s="99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ht="14.25" customHeight="1">
      <c r="A878" s="97"/>
      <c r="B878" s="99"/>
      <c r="C878" s="99"/>
      <c r="D878" s="99"/>
      <c r="E878" s="99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ht="14.25" customHeight="1">
      <c r="A879" s="97"/>
      <c r="B879" s="99"/>
      <c r="C879" s="99"/>
      <c r="D879" s="99"/>
      <c r="E879" s="99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ht="14.25" customHeight="1">
      <c r="A880" s="97"/>
      <c r="B880" s="99"/>
      <c r="C880" s="99"/>
      <c r="D880" s="99"/>
      <c r="E880" s="99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ht="14.25" customHeight="1">
      <c r="A881" s="97"/>
      <c r="B881" s="99"/>
      <c r="C881" s="99"/>
      <c r="D881" s="99"/>
      <c r="E881" s="99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ht="14.25" customHeight="1">
      <c r="A882" s="97"/>
      <c r="B882" s="99"/>
      <c r="C882" s="99"/>
      <c r="D882" s="99"/>
      <c r="E882" s="99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ht="14.25" customHeight="1">
      <c r="A883" s="97"/>
      <c r="B883" s="99"/>
      <c r="C883" s="99"/>
      <c r="D883" s="99"/>
      <c r="E883" s="99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ht="14.25" customHeight="1">
      <c r="A884" s="97"/>
      <c r="B884" s="99"/>
      <c r="C884" s="99"/>
      <c r="D884" s="99"/>
      <c r="E884" s="99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ht="14.25" customHeight="1">
      <c r="A885" s="97"/>
      <c r="B885" s="99"/>
      <c r="C885" s="99"/>
      <c r="D885" s="99"/>
      <c r="E885" s="99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ht="14.25" customHeight="1">
      <c r="A886" s="97"/>
      <c r="B886" s="99"/>
      <c r="C886" s="99"/>
      <c r="D886" s="99"/>
      <c r="E886" s="99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ht="14.25" customHeight="1">
      <c r="A887" s="97"/>
      <c r="B887" s="99"/>
      <c r="C887" s="99"/>
      <c r="D887" s="99"/>
      <c r="E887" s="99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ht="14.25" customHeight="1">
      <c r="A888" s="97"/>
      <c r="B888" s="99"/>
      <c r="C888" s="99"/>
      <c r="D888" s="99"/>
      <c r="E888" s="99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ht="14.25" customHeight="1">
      <c r="A889" s="97"/>
      <c r="B889" s="99"/>
      <c r="C889" s="99"/>
      <c r="D889" s="99"/>
      <c r="E889" s="99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ht="14.25" customHeight="1">
      <c r="A890" s="97"/>
      <c r="B890" s="99"/>
      <c r="C890" s="99"/>
      <c r="D890" s="99"/>
      <c r="E890" s="99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ht="14.25" customHeight="1">
      <c r="A891" s="97"/>
      <c r="B891" s="99"/>
      <c r="C891" s="99"/>
      <c r="D891" s="99"/>
      <c r="E891" s="99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ht="14.25" customHeight="1">
      <c r="A892" s="97"/>
      <c r="B892" s="99"/>
      <c r="C892" s="99"/>
      <c r="D892" s="99"/>
      <c r="E892" s="99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ht="14.25" customHeight="1">
      <c r="A893" s="97"/>
      <c r="B893" s="99"/>
      <c r="C893" s="99"/>
      <c r="D893" s="99"/>
      <c r="E893" s="99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ht="14.25" customHeight="1">
      <c r="A894" s="97"/>
      <c r="B894" s="99"/>
      <c r="C894" s="99"/>
      <c r="D894" s="99"/>
      <c r="E894" s="99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ht="14.25" customHeight="1">
      <c r="A895" s="97"/>
      <c r="B895" s="99"/>
      <c r="C895" s="99"/>
      <c r="D895" s="99"/>
      <c r="E895" s="99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ht="14.25" customHeight="1">
      <c r="A896" s="97"/>
      <c r="B896" s="99"/>
      <c r="C896" s="99"/>
      <c r="D896" s="99"/>
      <c r="E896" s="99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ht="14.25" customHeight="1">
      <c r="A897" s="97"/>
      <c r="B897" s="99"/>
      <c r="C897" s="99"/>
      <c r="D897" s="99"/>
      <c r="E897" s="99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ht="14.25" customHeight="1">
      <c r="A898" s="97"/>
      <c r="B898" s="99"/>
      <c r="C898" s="99"/>
      <c r="D898" s="99"/>
      <c r="E898" s="99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ht="14.25" customHeight="1">
      <c r="A899" s="97"/>
      <c r="B899" s="99"/>
      <c r="C899" s="99"/>
      <c r="D899" s="99"/>
      <c r="E899" s="99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ht="14.25" customHeight="1">
      <c r="A900" s="97"/>
      <c r="B900" s="99"/>
      <c r="C900" s="99"/>
      <c r="D900" s="99"/>
      <c r="E900" s="99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ht="14.25" customHeight="1">
      <c r="A901" s="97"/>
      <c r="B901" s="99"/>
      <c r="C901" s="99"/>
      <c r="D901" s="99"/>
      <c r="E901" s="99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ht="14.25" customHeight="1">
      <c r="A902" s="97"/>
      <c r="B902" s="99"/>
      <c r="C902" s="99"/>
      <c r="D902" s="99"/>
      <c r="E902" s="99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ht="14.25" customHeight="1">
      <c r="A903" s="97"/>
      <c r="B903" s="99"/>
      <c r="C903" s="99"/>
      <c r="D903" s="99"/>
      <c r="E903" s="99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ht="14.25" customHeight="1">
      <c r="A904" s="97"/>
      <c r="B904" s="99"/>
      <c r="C904" s="99"/>
      <c r="D904" s="99"/>
      <c r="E904" s="99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ht="14.25" customHeight="1">
      <c r="A905" s="97"/>
      <c r="B905" s="99"/>
      <c r="C905" s="99"/>
      <c r="D905" s="99"/>
      <c r="E905" s="99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ht="14.25" customHeight="1">
      <c r="A906" s="97"/>
      <c r="B906" s="99"/>
      <c r="C906" s="99"/>
      <c r="D906" s="99"/>
      <c r="E906" s="99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ht="14.25" customHeight="1">
      <c r="A907" s="97"/>
      <c r="B907" s="99"/>
      <c r="C907" s="99"/>
      <c r="D907" s="99"/>
      <c r="E907" s="99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ht="14.25" customHeight="1">
      <c r="A908" s="97"/>
      <c r="B908" s="99"/>
      <c r="C908" s="99"/>
      <c r="D908" s="99"/>
      <c r="E908" s="99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ht="14.25" customHeight="1">
      <c r="A909" s="97"/>
      <c r="B909" s="99"/>
      <c r="C909" s="99"/>
      <c r="D909" s="99"/>
      <c r="E909" s="99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ht="14.25" customHeight="1">
      <c r="A910" s="97"/>
      <c r="B910" s="99"/>
      <c r="C910" s="99"/>
      <c r="D910" s="99"/>
      <c r="E910" s="99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ht="14.25" customHeight="1">
      <c r="A911" s="97"/>
      <c r="B911" s="99"/>
      <c r="C911" s="99"/>
      <c r="D911" s="99"/>
      <c r="E911" s="99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ht="14.25" customHeight="1">
      <c r="A912" s="97"/>
      <c r="B912" s="99"/>
      <c r="C912" s="99"/>
      <c r="D912" s="99"/>
      <c r="E912" s="99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ht="14.25" customHeight="1">
      <c r="A913" s="97"/>
      <c r="B913" s="99"/>
      <c r="C913" s="99"/>
      <c r="D913" s="99"/>
      <c r="E913" s="99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ht="14.25" customHeight="1">
      <c r="A914" s="97"/>
      <c r="B914" s="99"/>
      <c r="C914" s="99"/>
      <c r="D914" s="99"/>
      <c r="E914" s="99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ht="14.25" customHeight="1">
      <c r="A915" s="97"/>
      <c r="B915" s="99"/>
      <c r="C915" s="99"/>
      <c r="D915" s="99"/>
      <c r="E915" s="99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ht="14.25" customHeight="1">
      <c r="A916" s="97"/>
      <c r="B916" s="99"/>
      <c r="C916" s="99"/>
      <c r="D916" s="99"/>
      <c r="E916" s="99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ht="14.25" customHeight="1">
      <c r="A917" s="97"/>
      <c r="B917" s="99"/>
      <c r="C917" s="99"/>
      <c r="D917" s="99"/>
      <c r="E917" s="99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ht="14.25" customHeight="1">
      <c r="A918" s="97"/>
      <c r="B918" s="99"/>
      <c r="C918" s="99"/>
      <c r="D918" s="99"/>
      <c r="E918" s="99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ht="14.25" customHeight="1">
      <c r="A919" s="97"/>
      <c r="B919" s="99"/>
      <c r="C919" s="99"/>
      <c r="D919" s="99"/>
      <c r="E919" s="99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ht="14.25" customHeight="1">
      <c r="A920" s="97"/>
      <c r="B920" s="99"/>
      <c r="C920" s="99"/>
      <c r="D920" s="99"/>
      <c r="E920" s="99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ht="14.25" customHeight="1">
      <c r="A921" s="97"/>
      <c r="B921" s="99"/>
      <c r="C921" s="99"/>
      <c r="D921" s="99"/>
      <c r="E921" s="99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ht="14.25" customHeight="1">
      <c r="A922" s="97"/>
      <c r="B922" s="99"/>
      <c r="C922" s="99"/>
      <c r="D922" s="99"/>
      <c r="E922" s="99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ht="14.25" customHeight="1">
      <c r="A923" s="97"/>
      <c r="B923" s="99"/>
      <c r="C923" s="99"/>
      <c r="D923" s="99"/>
      <c r="E923" s="99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ht="14.25" customHeight="1">
      <c r="A924" s="97"/>
      <c r="B924" s="99"/>
      <c r="C924" s="99"/>
      <c r="D924" s="99"/>
      <c r="E924" s="99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ht="14.25" customHeight="1">
      <c r="A925" s="97"/>
      <c r="B925" s="99"/>
      <c r="C925" s="99"/>
      <c r="D925" s="99"/>
      <c r="E925" s="99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ht="14.25" customHeight="1">
      <c r="A926" s="97"/>
      <c r="B926" s="99"/>
      <c r="C926" s="99"/>
      <c r="D926" s="99"/>
      <c r="E926" s="99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ht="14.25" customHeight="1">
      <c r="A927" s="97"/>
      <c r="B927" s="99"/>
      <c r="C927" s="99"/>
      <c r="D927" s="99"/>
      <c r="E927" s="99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ht="14.25" customHeight="1">
      <c r="A928" s="97"/>
      <c r="B928" s="99"/>
      <c r="C928" s="99"/>
      <c r="D928" s="99"/>
      <c r="E928" s="99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ht="14.25" customHeight="1">
      <c r="A929" s="97"/>
      <c r="B929" s="99"/>
      <c r="C929" s="99"/>
      <c r="D929" s="99"/>
      <c r="E929" s="99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ht="14.25" customHeight="1">
      <c r="A930" s="97"/>
      <c r="B930" s="99"/>
      <c r="C930" s="99"/>
      <c r="D930" s="99"/>
      <c r="E930" s="99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ht="14.25" customHeight="1">
      <c r="A931" s="97"/>
      <c r="B931" s="99"/>
      <c r="C931" s="99"/>
      <c r="D931" s="99"/>
      <c r="E931" s="99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ht="14.25" customHeight="1">
      <c r="A932" s="97"/>
      <c r="B932" s="99"/>
      <c r="C932" s="99"/>
      <c r="D932" s="99"/>
      <c r="E932" s="99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ht="14.25" customHeight="1">
      <c r="A933" s="97"/>
      <c r="B933" s="99"/>
      <c r="C933" s="99"/>
      <c r="D933" s="99"/>
      <c r="E933" s="99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ht="14.25" customHeight="1">
      <c r="A934" s="97"/>
      <c r="B934" s="99"/>
      <c r="C934" s="99"/>
      <c r="D934" s="99"/>
      <c r="E934" s="99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ht="14.25" customHeight="1">
      <c r="A935" s="97"/>
      <c r="B935" s="99"/>
      <c r="C935" s="99"/>
      <c r="D935" s="99"/>
      <c r="E935" s="99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ht="14.25" customHeight="1">
      <c r="A936" s="97"/>
      <c r="B936" s="99"/>
      <c r="C936" s="99"/>
      <c r="D936" s="99"/>
      <c r="E936" s="99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ht="14.25" customHeight="1">
      <c r="A937" s="97"/>
      <c r="B937" s="99"/>
      <c r="C937" s="99"/>
      <c r="D937" s="99"/>
      <c r="E937" s="99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ht="14.25" customHeight="1">
      <c r="A938" s="97"/>
      <c r="B938" s="99"/>
      <c r="C938" s="99"/>
      <c r="D938" s="99"/>
      <c r="E938" s="99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ht="14.25" customHeight="1">
      <c r="A939" s="97"/>
      <c r="B939" s="99"/>
      <c r="C939" s="99"/>
      <c r="D939" s="99"/>
      <c r="E939" s="99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ht="14.25" customHeight="1">
      <c r="A940" s="97"/>
      <c r="B940" s="99"/>
      <c r="C940" s="99"/>
      <c r="D940" s="99"/>
      <c r="E940" s="99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ht="14.25" customHeight="1">
      <c r="A941" s="97"/>
      <c r="B941" s="99"/>
      <c r="C941" s="99"/>
      <c r="D941" s="99"/>
      <c r="E941" s="99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ht="14.25" customHeight="1">
      <c r="A942" s="97"/>
      <c r="B942" s="99"/>
      <c r="C942" s="99"/>
      <c r="D942" s="99"/>
      <c r="E942" s="99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ht="14.25" customHeight="1">
      <c r="A943" s="97"/>
      <c r="B943" s="99"/>
      <c r="C943" s="99"/>
      <c r="D943" s="99"/>
      <c r="E943" s="99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ht="14.25" customHeight="1">
      <c r="A944" s="97"/>
      <c r="B944" s="99"/>
      <c r="C944" s="99"/>
      <c r="D944" s="99"/>
      <c r="E944" s="99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ht="14.25" customHeight="1">
      <c r="A945" s="97"/>
      <c r="B945" s="99"/>
      <c r="C945" s="99"/>
      <c r="D945" s="99"/>
      <c r="E945" s="99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ht="14.25" customHeight="1">
      <c r="A946" s="97"/>
      <c r="B946" s="99"/>
      <c r="C946" s="99"/>
      <c r="D946" s="99"/>
      <c r="E946" s="99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ht="14.25" customHeight="1">
      <c r="A947" s="97"/>
      <c r="B947" s="99"/>
      <c r="C947" s="99"/>
      <c r="D947" s="99"/>
      <c r="E947" s="99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ht="14.25" customHeight="1">
      <c r="A948" s="97"/>
      <c r="B948" s="99"/>
      <c r="C948" s="99"/>
      <c r="D948" s="99"/>
      <c r="E948" s="99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ht="14.25" customHeight="1">
      <c r="A949" s="97"/>
      <c r="B949" s="99"/>
      <c r="C949" s="99"/>
      <c r="D949" s="99"/>
      <c r="E949" s="99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ht="14.25" customHeight="1">
      <c r="A950" s="97"/>
      <c r="B950" s="99"/>
      <c r="C950" s="99"/>
      <c r="D950" s="99"/>
      <c r="E950" s="99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ht="14.25" customHeight="1">
      <c r="A951" s="97"/>
      <c r="B951" s="99"/>
      <c r="C951" s="99"/>
      <c r="D951" s="99"/>
      <c r="E951" s="99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ht="14.25" customHeight="1">
      <c r="A952" s="97"/>
      <c r="B952" s="99"/>
      <c r="C952" s="99"/>
      <c r="D952" s="99"/>
      <c r="E952" s="99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ht="14.25" customHeight="1">
      <c r="A953" s="97"/>
      <c r="B953" s="99"/>
      <c r="C953" s="99"/>
      <c r="D953" s="99"/>
      <c r="E953" s="99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ht="14.25" customHeight="1">
      <c r="A954" s="97"/>
      <c r="B954" s="99"/>
      <c r="C954" s="99"/>
      <c r="D954" s="99"/>
      <c r="E954" s="99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ht="14.25" customHeight="1">
      <c r="A955" s="97"/>
      <c r="B955" s="99"/>
      <c r="C955" s="99"/>
      <c r="D955" s="99"/>
      <c r="E955" s="99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ht="14.25" customHeight="1">
      <c r="A956" s="97"/>
      <c r="B956" s="99"/>
      <c r="C956" s="99"/>
      <c r="D956" s="99"/>
      <c r="E956" s="99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ht="14.25" customHeight="1">
      <c r="A957" s="97"/>
      <c r="B957" s="99"/>
      <c r="C957" s="99"/>
      <c r="D957" s="99"/>
      <c r="E957" s="99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ht="14.25" customHeight="1">
      <c r="A958" s="97"/>
      <c r="B958" s="99"/>
      <c r="C958" s="99"/>
      <c r="D958" s="99"/>
      <c r="E958" s="99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ht="14.25" customHeight="1">
      <c r="A959" s="97"/>
      <c r="B959" s="99"/>
      <c r="C959" s="99"/>
      <c r="D959" s="99"/>
      <c r="E959" s="99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ht="14.25" customHeight="1">
      <c r="A960" s="97"/>
      <c r="B960" s="99"/>
      <c r="C960" s="99"/>
      <c r="D960" s="99"/>
      <c r="E960" s="99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ht="14.25" customHeight="1">
      <c r="A961" s="97"/>
      <c r="B961" s="99"/>
      <c r="C961" s="99"/>
      <c r="D961" s="99"/>
      <c r="E961" s="99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ht="14.25" customHeight="1">
      <c r="A962" s="97"/>
      <c r="B962" s="99"/>
      <c r="C962" s="99"/>
      <c r="D962" s="99"/>
      <c r="E962" s="99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ht="14.25" customHeight="1">
      <c r="A963" s="97"/>
      <c r="B963" s="99"/>
      <c r="C963" s="99"/>
      <c r="D963" s="99"/>
      <c r="E963" s="99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ht="14.25" customHeight="1">
      <c r="A964" s="97"/>
      <c r="B964" s="99"/>
      <c r="C964" s="99"/>
      <c r="D964" s="99"/>
      <c r="E964" s="99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ht="14.25" customHeight="1">
      <c r="A965" s="97"/>
      <c r="B965" s="99"/>
      <c r="C965" s="99"/>
      <c r="D965" s="99"/>
      <c r="E965" s="99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ht="14.25" customHeight="1">
      <c r="A966" s="97"/>
      <c r="B966" s="99"/>
      <c r="C966" s="99"/>
      <c r="D966" s="99"/>
      <c r="E966" s="99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ht="14.25" customHeight="1">
      <c r="A967" s="97"/>
      <c r="B967" s="99"/>
      <c r="C967" s="99"/>
      <c r="D967" s="99"/>
      <c r="E967" s="99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ht="14.25" customHeight="1">
      <c r="A968" s="97"/>
      <c r="B968" s="99"/>
      <c r="C968" s="99"/>
      <c r="D968" s="99"/>
      <c r="E968" s="99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ht="14.25" customHeight="1">
      <c r="A969" s="97"/>
      <c r="B969" s="99"/>
      <c r="C969" s="99"/>
      <c r="D969" s="99"/>
      <c r="E969" s="99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ht="14.25" customHeight="1">
      <c r="A970" s="97"/>
      <c r="B970" s="99"/>
      <c r="C970" s="99"/>
      <c r="D970" s="99"/>
      <c r="E970" s="99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ht="14.25" customHeight="1">
      <c r="A971" s="97"/>
      <c r="B971" s="99"/>
      <c r="C971" s="99"/>
      <c r="D971" s="99"/>
      <c r="E971" s="99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ht="14.25" customHeight="1">
      <c r="A972" s="97"/>
      <c r="B972" s="99"/>
      <c r="C972" s="99"/>
      <c r="D972" s="99"/>
      <c r="E972" s="99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ht="14.25" customHeight="1">
      <c r="A973" s="97"/>
      <c r="B973" s="99"/>
      <c r="C973" s="99"/>
      <c r="D973" s="99"/>
      <c r="E973" s="99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ht="14.25" customHeight="1">
      <c r="A974" s="97"/>
      <c r="B974" s="99"/>
      <c r="C974" s="99"/>
      <c r="D974" s="99"/>
      <c r="E974" s="99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ht="14.25" customHeight="1">
      <c r="A975" s="97"/>
      <c r="B975" s="99"/>
      <c r="C975" s="99"/>
      <c r="D975" s="99"/>
      <c r="E975" s="99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ht="14.25" customHeight="1">
      <c r="A976" s="97"/>
      <c r="B976" s="99"/>
      <c r="C976" s="99"/>
      <c r="D976" s="99"/>
      <c r="E976" s="99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ht="14.25" customHeight="1">
      <c r="A977" s="97"/>
      <c r="B977" s="99"/>
      <c r="C977" s="99"/>
      <c r="D977" s="99"/>
      <c r="E977" s="99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ht="14.25" customHeight="1">
      <c r="A978" s="97"/>
      <c r="B978" s="99"/>
      <c r="C978" s="99"/>
      <c r="D978" s="99"/>
      <c r="E978" s="99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ht="14.25" customHeight="1">
      <c r="A979" s="97"/>
      <c r="B979" s="99"/>
      <c r="C979" s="99"/>
      <c r="D979" s="99"/>
      <c r="E979" s="99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ht="14.25" customHeight="1">
      <c r="A980" s="97"/>
      <c r="B980" s="99"/>
      <c r="C980" s="99"/>
      <c r="D980" s="99"/>
      <c r="E980" s="99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ht="14.25" customHeight="1">
      <c r="A981" s="97"/>
      <c r="B981" s="99"/>
      <c r="C981" s="99"/>
      <c r="D981" s="99"/>
      <c r="E981" s="99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ht="14.25" customHeight="1">
      <c r="A982" s="97"/>
      <c r="B982" s="99"/>
      <c r="C982" s="99"/>
      <c r="D982" s="99"/>
      <c r="E982" s="99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ht="14.25" customHeight="1">
      <c r="A983" s="97"/>
      <c r="B983" s="99"/>
      <c r="C983" s="99"/>
      <c r="D983" s="99"/>
      <c r="E983" s="99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ht="14.25" customHeight="1">
      <c r="A984" s="97"/>
      <c r="B984" s="99"/>
      <c r="C984" s="99"/>
      <c r="D984" s="99"/>
      <c r="E984" s="99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ht="14.25" customHeight="1">
      <c r="A985" s="97"/>
      <c r="B985" s="99"/>
      <c r="C985" s="99"/>
      <c r="D985" s="99"/>
      <c r="E985" s="99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ht="14.25" customHeight="1">
      <c r="A986" s="97"/>
      <c r="B986" s="99"/>
      <c r="C986" s="99"/>
      <c r="D986" s="99"/>
      <c r="E986" s="99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ht="14.25" customHeight="1">
      <c r="A987" s="97"/>
      <c r="B987" s="99"/>
      <c r="C987" s="99"/>
      <c r="D987" s="99"/>
      <c r="E987" s="99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ht="14.25" customHeight="1">
      <c r="A988" s="97"/>
      <c r="B988" s="99"/>
      <c r="C988" s="99"/>
      <c r="D988" s="99"/>
      <c r="E988" s="99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ht="14.25" customHeight="1">
      <c r="A989" s="97"/>
      <c r="B989" s="99"/>
      <c r="C989" s="99"/>
      <c r="D989" s="99"/>
      <c r="E989" s="99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ht="14.25" customHeight="1">
      <c r="A990" s="97"/>
      <c r="B990" s="99"/>
      <c r="C990" s="99"/>
      <c r="D990" s="99"/>
      <c r="E990" s="99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ht="14.25" customHeight="1">
      <c r="A991" s="97"/>
      <c r="B991" s="99"/>
      <c r="C991" s="99"/>
      <c r="D991" s="99"/>
      <c r="E991" s="99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ht="14.25" customHeight="1">
      <c r="A992" s="97"/>
      <c r="B992" s="99"/>
      <c r="C992" s="99"/>
      <c r="D992" s="99"/>
      <c r="E992" s="99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ht="14.25" customHeight="1">
      <c r="A993" s="97"/>
      <c r="B993" s="99"/>
      <c r="C993" s="99"/>
      <c r="D993" s="99"/>
      <c r="E993" s="99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ht="14.25" customHeight="1">
      <c r="A994" s="97"/>
      <c r="B994" s="99"/>
      <c r="C994" s="99"/>
      <c r="D994" s="99"/>
      <c r="E994" s="99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ht="14.25" customHeight="1">
      <c r="A995" s="97"/>
      <c r="B995" s="99"/>
      <c r="C995" s="99"/>
      <c r="D995" s="99"/>
      <c r="E995" s="99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ht="14.25" customHeight="1">
      <c r="A996" s="97"/>
      <c r="B996" s="99"/>
      <c r="C996" s="99"/>
      <c r="D996" s="99"/>
      <c r="E996" s="99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ht="14.25" customHeight="1">
      <c r="A997" s="97"/>
      <c r="B997" s="99"/>
      <c r="C997" s="99"/>
      <c r="D997" s="99"/>
      <c r="E997" s="99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ht="14.25" customHeight="1">
      <c r="A998" s="97"/>
      <c r="B998" s="99"/>
      <c r="C998" s="99"/>
      <c r="D998" s="99"/>
      <c r="E998" s="99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ht="14.25" customHeight="1">
      <c r="A999" s="97"/>
      <c r="B999" s="99"/>
      <c r="C999" s="99"/>
      <c r="D999" s="99"/>
      <c r="E999" s="99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ht="14.25" customHeight="1">
      <c r="A1000" s="97"/>
      <c r="B1000" s="99"/>
      <c r="C1000" s="99"/>
      <c r="D1000" s="99"/>
      <c r="E1000" s="99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$B$2:$C$506">
    <sortState ref="B2:C506">
      <sortCondition ref="C2:C506"/>
    </sortState>
  </autoFilter>
  <mergeCells count="1">
    <mergeCell ref="A1:E1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2024-03-07T13:42:21Z</dcterms:created>
  <dc:creator>Givelle De La Rosa</dc:creator>
</cp:coreProperties>
</file>